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;(0.0%);&quot;–&quot;"/>
    <numFmt numFmtId="165" formatCode="#,##0.0"/>
    <numFmt numFmtId="166" formatCode="#,##0.0;(#,##0.0);&quot;–&quot;"/>
    <numFmt numFmtId="167" formatCode="0.00;(0.00)"/>
    <numFmt numFmtId="168" formatCode="0.0&quot;x&quot;"/>
  </numFmts>
  <fonts count="12">
    <font>
      <name val="Calibri"/>
      <family val="2"/>
      <color theme="1"/>
      <sz val="11"/>
      <scheme val="minor"/>
    </font>
    <font>
      <name val="Calibri"/>
      <b val="1"/>
      <color rgb="001F3A5F"/>
      <sz val="16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1F4FD1"/>
      <sz val="11"/>
    </font>
    <font>
      <name val="Calibri"/>
      <color rgb="00000000"/>
      <sz val="11"/>
    </font>
    <font>
      <name val="Calibri"/>
      <color rgb="000E7C3A"/>
      <sz val="11"/>
    </font>
    <font>
      <name val="Calibri"/>
      <i val="1"/>
      <color rgb="004B5563"/>
      <sz val="10"/>
    </font>
    <font>
      <name val="Calibri"/>
      <i val="1"/>
      <color rgb="000E7C3A"/>
      <sz val="10"/>
    </font>
    <font>
      <name val="Calibri"/>
      <i val="1"/>
      <color rgb="00000000"/>
      <sz val="10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5F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top style="thin">
        <color rgb="00000000"/>
      </top>
      <bottom style="double">
        <color rgb="00000000"/>
      </bottom>
    </border>
    <border>
      <top style="thin">
        <color rgb="001F3A5F"/>
      </top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0" fontId="4" fillId="0" borderId="0" pivotButton="0" quotePrefix="0" xfId="0"/>
    <xf numFmtId="4" fontId="5" fillId="0" borderId="0" pivotButton="0" quotePrefix="0" xfId="0"/>
    <xf numFmtId="4" fontId="6" fillId="3" borderId="0" pivotButton="0" quotePrefix="0" xfId="0"/>
    <xf numFmtId="4" fontId="6" fillId="0" borderId="0" pivotButton="0" quotePrefix="0" xfId="0"/>
    <xf numFmtId="0" fontId="0" fillId="0" borderId="0" applyAlignment="1" pivotButton="0" quotePrefix="0" xfId="0">
      <alignment indent="1"/>
    </xf>
    <xf numFmtId="164" fontId="5" fillId="4" borderId="0" pivotButton="0" quotePrefix="0" xfId="0"/>
    <xf numFmtId="165" fontId="5" fillId="0" borderId="0" pivotButton="0" quotePrefix="0" xfId="0"/>
    <xf numFmtId="165" fontId="6" fillId="3" borderId="0" pivotButton="0" quotePrefix="0" xfId="0"/>
    <xf numFmtId="165" fontId="6" fillId="0" borderId="0" pivotButton="0" quotePrefix="0" xfId="0"/>
    <xf numFmtId="164" fontId="5" fillId="0" borderId="0" pivotButton="0" quotePrefix="0" xfId="0"/>
    <xf numFmtId="1" fontId="5" fillId="0" borderId="0" pivotButton="0" quotePrefix="0" xfId="0"/>
    <xf numFmtId="1" fontId="5" fillId="4" borderId="0" pivotButton="0" quotePrefix="0" xfId="0"/>
    <xf numFmtId="166" fontId="5" fillId="0" borderId="0" pivotButton="0" quotePrefix="0" xfId="0"/>
    <xf numFmtId="166" fontId="11" fillId="0" borderId="1" pivotButton="0" quotePrefix="0" xfId="0"/>
    <xf numFmtId="166" fontId="11" fillId="3" borderId="1" pivotButton="0" quotePrefix="0" xfId="0"/>
    <xf numFmtId="166" fontId="7" fillId="0" borderId="0" pivotButton="0" quotePrefix="0" xfId="0"/>
    <xf numFmtId="166" fontId="6" fillId="3" borderId="0" pivotButton="0" quotePrefix="0" xfId="0"/>
    <xf numFmtId="0" fontId="8" fillId="0" borderId="0" applyAlignment="1" pivotButton="0" quotePrefix="0" xfId="0">
      <alignment indent="2"/>
    </xf>
    <xf numFmtId="4" fontId="9" fillId="0" borderId="0" pivotButton="0" quotePrefix="0" xfId="0"/>
    <xf numFmtId="4" fontId="10" fillId="3" borderId="0" pivotButton="0" quotePrefix="0" xfId="0"/>
    <xf numFmtId="165" fontId="9" fillId="0" borderId="0" pivotButton="0" quotePrefix="0" xfId="0"/>
    <xf numFmtId="165" fontId="9" fillId="3" borderId="0" pivotButton="0" quotePrefix="0" xfId="0"/>
    <xf numFmtId="0" fontId="8" fillId="0" borderId="0" pivotButton="0" quotePrefix="0" xfId="0"/>
    <xf numFmtId="164" fontId="10" fillId="0" borderId="0" pivotButton="0" quotePrefix="0" xfId="0"/>
    <xf numFmtId="164" fontId="10" fillId="3" borderId="0" pivotButton="0" quotePrefix="0" xfId="0"/>
    <xf numFmtId="167" fontId="7" fillId="0" borderId="0" pivotButton="0" quotePrefix="0" xfId="0"/>
    <xf numFmtId="167" fontId="6" fillId="3" borderId="0" pivotButton="0" quotePrefix="0" xfId="0"/>
    <xf numFmtId="164" fontId="9" fillId="0" borderId="0" pivotButton="0" quotePrefix="0" xfId="0"/>
    <xf numFmtId="164" fontId="9" fillId="3" borderId="0" pivotButton="0" quotePrefix="0" xfId="0"/>
    <xf numFmtId="166" fontId="6" fillId="0" borderId="0" pivotButton="0" quotePrefix="0" xfId="0"/>
    <xf numFmtId="164" fontId="7" fillId="0" borderId="0" pivotButton="0" quotePrefix="0" xfId="0"/>
    <xf numFmtId="166" fontId="4" fillId="0" borderId="2" pivotButton="0" quotePrefix="0" xfId="0"/>
    <xf numFmtId="2" fontId="4" fillId="0" borderId="2" pivotButton="0" quotePrefix="0" xfId="0"/>
    <xf numFmtId="168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2" customWidth="1" min="22" max="22"/>
  </cols>
  <sheetData>
    <row r="1">
      <c r="A1" s="1" t="inlineStr">
        <is>
          <t>Northwind Robotics — Assumptions</t>
        </is>
      </c>
    </row>
    <row r="2">
      <c r="A2" s="2" t="inlineStr">
        <is>
          <t>Inputs in blue on yellow; history in blue. USD millions unless stated.</t>
        </is>
      </c>
    </row>
    <row r="4">
      <c r="A4" s="3" t="inlineStr">
        <is>
          <t>Line item</t>
        </is>
      </c>
      <c r="B4" s="3" t="inlineStr">
        <is>
          <t>Unit</t>
        </is>
      </c>
      <c r="C4" s="4" t="inlineStr">
        <is>
          <t>1Q24A</t>
        </is>
      </c>
      <c r="D4" s="4" t="inlineStr">
        <is>
          <t>2Q24A</t>
        </is>
      </c>
      <c r="E4" s="4" t="inlineStr">
        <is>
          <t>3Q24A</t>
        </is>
      </c>
      <c r="F4" s="4" t="inlineStr">
        <is>
          <t>4Q24A</t>
        </is>
      </c>
      <c r="G4" s="4" t="inlineStr">
        <is>
          <t>FY24A</t>
        </is>
      </c>
      <c r="H4" s="4" t="inlineStr">
        <is>
          <t>1Q25A</t>
        </is>
      </c>
      <c r="I4" s="4" t="inlineStr">
        <is>
          <t>2Q25A</t>
        </is>
      </c>
      <c r="J4" s="4" t="inlineStr">
        <is>
          <t>3Q25A</t>
        </is>
      </c>
      <c r="K4" s="4" t="inlineStr">
        <is>
          <t>4Q25A</t>
        </is>
      </c>
      <c r="L4" s="4" t="inlineStr">
        <is>
          <t>FY25A</t>
        </is>
      </c>
      <c r="M4" s="4" t="inlineStr">
        <is>
          <t>1Q26E</t>
        </is>
      </c>
      <c r="N4" s="4" t="inlineStr">
        <is>
          <t>2Q26E</t>
        </is>
      </c>
      <c r="O4" s="4" t="inlineStr">
        <is>
          <t>3Q26E</t>
        </is>
      </c>
      <c r="P4" s="4" t="inlineStr">
        <is>
          <t>4Q26E</t>
        </is>
      </c>
      <c r="Q4" s="4" t="inlineStr">
        <is>
          <t>FY26E</t>
        </is>
      </c>
      <c r="R4" s="4" t="inlineStr">
        <is>
          <t>1Q27E</t>
        </is>
      </c>
      <c r="S4" s="4" t="inlineStr">
        <is>
          <t>2Q27E</t>
        </is>
      </c>
      <c r="T4" s="4" t="inlineStr">
        <is>
          <t>3Q27E</t>
        </is>
      </c>
      <c r="U4" s="4" t="inlineStr">
        <is>
          <t>4Q27E</t>
        </is>
      </c>
      <c r="V4" s="4" t="inlineStr">
        <is>
          <t>FY27E</t>
        </is>
      </c>
    </row>
    <row r="6">
      <c r="A6" s="5" t="inlineStr">
        <is>
          <t>Volume and price</t>
        </is>
      </c>
    </row>
    <row r="7">
      <c r="A7" t="inlineStr">
        <is>
          <t>Robots shipped</t>
        </is>
      </c>
      <c r="B7" s="2" t="inlineStr">
        <is>
          <t>k</t>
        </is>
      </c>
      <c r="C7" s="6" t="n">
        <v>3.1</v>
      </c>
      <c r="D7" s="6" t="n">
        <v>3.42</v>
      </c>
      <c r="E7" s="6" t="n">
        <v>3.71</v>
      </c>
      <c r="F7" s="6" t="n">
        <v>4.25</v>
      </c>
      <c r="G7" s="7">
        <f>SUM(C7:F7)</f>
        <v/>
      </c>
      <c r="H7" s="6" t="n">
        <v>4.02</v>
      </c>
      <c r="I7" s="6" t="n">
        <v>4.38</v>
      </c>
      <c r="J7" s="6" t="n">
        <v>4.61</v>
      </c>
      <c r="K7" s="6" t="n">
        <v>5.2</v>
      </c>
      <c r="L7" s="7">
        <f>SUM(H7:K7)</f>
        <v/>
      </c>
      <c r="M7" s="8">
        <f>H7*(1+M8)</f>
        <v/>
      </c>
      <c r="N7" s="8">
        <f>I7*(1+N8)</f>
        <v/>
      </c>
      <c r="O7" s="8">
        <f>J7*(1+O8)</f>
        <v/>
      </c>
      <c r="P7" s="8">
        <f>K7*(1+P8)</f>
        <v/>
      </c>
      <c r="Q7" s="7">
        <f>SUM(M7:P7)</f>
        <v/>
      </c>
      <c r="R7" s="8">
        <f>M7*(1+R8)</f>
        <v/>
      </c>
      <c r="S7" s="8">
        <f>N7*(1+S8)</f>
        <v/>
      </c>
      <c r="T7" s="8">
        <f>O7*(1+T8)</f>
        <v/>
      </c>
      <c r="U7" s="8">
        <f>P7*(1+U8)</f>
        <v/>
      </c>
      <c r="V7" s="7">
        <f>SUM(R7:U7)</f>
        <v/>
      </c>
    </row>
    <row r="8">
      <c r="A8" s="9" t="inlineStr">
        <is>
          <t>Unit growth, year on year</t>
        </is>
      </c>
      <c r="B8" s="2" t="inlineStr">
        <is>
          <t>%</t>
        </is>
      </c>
      <c r="M8" s="10" t="n">
        <v>0.22</v>
      </c>
      <c r="N8" s="10" t="n">
        <v>0.22</v>
      </c>
      <c r="O8" s="10" t="n">
        <v>0.22</v>
      </c>
      <c r="P8" s="10" t="n">
        <v>0.22</v>
      </c>
      <c r="R8" s="10" t="n">
        <v>0.18</v>
      </c>
      <c r="S8" s="10" t="n">
        <v>0.18</v>
      </c>
      <c r="T8" s="10" t="n">
        <v>0.18</v>
      </c>
      <c r="U8" s="10" t="n">
        <v>0.18</v>
      </c>
    </row>
    <row r="9">
      <c r="A9" t="inlineStr">
        <is>
          <t>Average selling price</t>
        </is>
      </c>
      <c r="B9" s="2" t="inlineStr">
        <is>
          <t>USD k</t>
        </is>
      </c>
      <c r="C9" s="11" t="n">
        <v>41</v>
      </c>
      <c r="D9" s="11" t="n">
        <v>41.6</v>
      </c>
      <c r="E9" s="11" t="n">
        <v>42.1</v>
      </c>
      <c r="F9" s="11" t="n">
        <v>42.4</v>
      </c>
      <c r="G9" s="12">
        <f>SUMPRODUCT(C7:F7,C9:F9)/G7</f>
        <v/>
      </c>
      <c r="H9" s="11" t="n">
        <v>43</v>
      </c>
      <c r="I9" s="11" t="n">
        <v>43.3</v>
      </c>
      <c r="J9" s="11" t="n">
        <v>43.9</v>
      </c>
      <c r="K9" s="11" t="n">
        <v>44.6</v>
      </c>
      <c r="L9" s="12">
        <f>SUMPRODUCT(H7:K7,H9:K9)/L7</f>
        <v/>
      </c>
      <c r="M9" s="13">
        <f>H9*(1+M10)</f>
        <v/>
      </c>
      <c r="N9" s="13">
        <f>I9*(1+N10)</f>
        <v/>
      </c>
      <c r="O9" s="13">
        <f>J9*(1+O10)</f>
        <v/>
      </c>
      <c r="P9" s="13">
        <f>K9*(1+P10)</f>
        <v/>
      </c>
      <c r="Q9" s="12">
        <f>SUMPRODUCT(M7:P7,M9:P9)/Q7</f>
        <v/>
      </c>
      <c r="R9" s="13">
        <f>M9*(1+R10)</f>
        <v/>
      </c>
      <c r="S9" s="13">
        <f>N9*(1+S10)</f>
        <v/>
      </c>
      <c r="T9" s="13">
        <f>O9*(1+T10)</f>
        <v/>
      </c>
      <c r="U9" s="13">
        <f>P9*(1+U10)</f>
        <v/>
      </c>
      <c r="V9" s="12">
        <f>SUMPRODUCT(R7:U7,R9:U9)/V7</f>
        <v/>
      </c>
    </row>
    <row r="10">
      <c r="A10" s="9" t="inlineStr">
        <is>
          <t>Price change, year on year</t>
        </is>
      </c>
      <c r="B10" s="2" t="inlineStr">
        <is>
          <t>%</t>
        </is>
      </c>
      <c r="M10" s="10" t="n">
        <v>0.03</v>
      </c>
      <c r="N10" s="10" t="n">
        <v>0.03</v>
      </c>
      <c r="O10" s="10" t="n">
        <v>0.03</v>
      </c>
      <c r="P10" s="10" t="n">
        <v>0.03</v>
      </c>
      <c r="R10" s="10" t="n">
        <v>0.02</v>
      </c>
      <c r="S10" s="10" t="n">
        <v>0.02</v>
      </c>
      <c r="T10" s="10" t="n">
        <v>0.02</v>
      </c>
      <c r="U10" s="10" t="n">
        <v>0.02</v>
      </c>
    </row>
    <row r="12">
      <c r="A12" s="5" t="inlineStr">
        <is>
          <t>Margins and costs</t>
        </is>
      </c>
    </row>
    <row r="13">
      <c r="A13" t="inlineStr">
        <is>
          <t>Gross margin</t>
        </is>
      </c>
      <c r="B13" s="2" t="inlineStr">
        <is>
          <t>%</t>
        </is>
      </c>
      <c r="C13" s="14" t="n">
        <v>0.402</v>
      </c>
      <c r="D13" s="14" t="n">
        <v>0.411</v>
      </c>
      <c r="E13" s="14" t="n">
        <v>0.418</v>
      </c>
      <c r="F13" s="14" t="n">
        <v>0.426</v>
      </c>
      <c r="H13" s="14" t="n">
        <v>0.431</v>
      </c>
      <c r="I13" s="14" t="n">
        <v>0.437</v>
      </c>
      <c r="J13" s="14" t="n">
        <v>0.444</v>
      </c>
      <c r="K13" s="14" t="n">
        <v>0.452</v>
      </c>
      <c r="M13" s="10" t="n">
        <v>0.46</v>
      </c>
      <c r="N13" s="10" t="n">
        <v>0.46</v>
      </c>
      <c r="O13" s="10" t="n">
        <v>0.46</v>
      </c>
      <c r="P13" s="10" t="n">
        <v>0.46</v>
      </c>
      <c r="R13" s="10" t="n">
        <v>0.47</v>
      </c>
      <c r="S13" s="10" t="n">
        <v>0.47</v>
      </c>
      <c r="T13" s="10" t="n">
        <v>0.47</v>
      </c>
      <c r="U13" s="10" t="n">
        <v>0.47</v>
      </c>
    </row>
    <row r="14">
      <c r="A14" t="inlineStr">
        <is>
          <t>R&amp;D</t>
        </is>
      </c>
      <c r="B14" s="2" t="inlineStr">
        <is>
          <t>% rev</t>
        </is>
      </c>
      <c r="C14" s="14" t="n">
        <v>0.14</v>
      </c>
      <c r="D14" s="14" t="n">
        <v>0.14</v>
      </c>
      <c r="E14" s="14" t="n">
        <v>0.14</v>
      </c>
      <c r="F14" s="14" t="n">
        <v>0.14</v>
      </c>
      <c r="H14" s="14" t="n">
        <v>0.14</v>
      </c>
      <c r="I14" s="14" t="n">
        <v>0.14</v>
      </c>
      <c r="J14" s="14" t="n">
        <v>0.14</v>
      </c>
      <c r="K14" s="14" t="n">
        <v>0.14</v>
      </c>
      <c r="M14" s="10" t="n">
        <v>0.135</v>
      </c>
      <c r="N14" s="10" t="n">
        <v>0.135</v>
      </c>
      <c r="O14" s="10" t="n">
        <v>0.135</v>
      </c>
      <c r="P14" s="10" t="n">
        <v>0.135</v>
      </c>
      <c r="R14" s="10" t="n">
        <v>0.135</v>
      </c>
      <c r="S14" s="10" t="n">
        <v>0.135</v>
      </c>
      <c r="T14" s="10" t="n">
        <v>0.135</v>
      </c>
      <c r="U14" s="10" t="n">
        <v>0.135</v>
      </c>
    </row>
    <row r="15">
      <c r="A15" t="inlineStr">
        <is>
          <t>Sales &amp; marketing</t>
        </is>
      </c>
      <c r="B15" s="2" t="inlineStr">
        <is>
          <t>% rev</t>
        </is>
      </c>
      <c r="C15" s="14" t="n">
        <v>0.11</v>
      </c>
      <c r="D15" s="14" t="n">
        <v>0.11</v>
      </c>
      <c r="E15" s="14" t="n">
        <v>0.11</v>
      </c>
      <c r="F15" s="14" t="n">
        <v>0.11</v>
      </c>
      <c r="H15" s="14" t="n">
        <v>0.11</v>
      </c>
      <c r="I15" s="14" t="n">
        <v>0.11</v>
      </c>
      <c r="J15" s="14" t="n">
        <v>0.11</v>
      </c>
      <c r="K15" s="14" t="n">
        <v>0.11</v>
      </c>
      <c r="M15" s="10" t="n">
        <v>0.105</v>
      </c>
      <c r="N15" s="10" t="n">
        <v>0.105</v>
      </c>
      <c r="O15" s="10" t="n">
        <v>0.105</v>
      </c>
      <c r="P15" s="10" t="n">
        <v>0.105</v>
      </c>
      <c r="R15" s="10" t="n">
        <v>0.105</v>
      </c>
      <c r="S15" s="10" t="n">
        <v>0.105</v>
      </c>
      <c r="T15" s="10" t="n">
        <v>0.105</v>
      </c>
      <c r="U15" s="10" t="n">
        <v>0.105</v>
      </c>
    </row>
    <row r="16">
      <c r="A16" t="inlineStr">
        <is>
          <t>General &amp; administrative</t>
        </is>
      </c>
      <c r="B16" s="2" t="inlineStr">
        <is>
          <t>% rev</t>
        </is>
      </c>
      <c r="C16" s="14" t="n">
        <v>0.06</v>
      </c>
      <c r="D16" s="14" t="n">
        <v>0.06</v>
      </c>
      <c r="E16" s="14" t="n">
        <v>0.06</v>
      </c>
      <c r="F16" s="14" t="n">
        <v>0.06</v>
      </c>
      <c r="H16" s="14" t="n">
        <v>0.06</v>
      </c>
      <c r="I16" s="14" t="n">
        <v>0.06</v>
      </c>
      <c r="J16" s="14" t="n">
        <v>0.06</v>
      </c>
      <c r="K16" s="14" t="n">
        <v>0.06</v>
      </c>
      <c r="M16" s="10" t="n">
        <v>0.06</v>
      </c>
      <c r="N16" s="10" t="n">
        <v>0.06</v>
      </c>
      <c r="O16" s="10" t="n">
        <v>0.06</v>
      </c>
      <c r="P16" s="10" t="n">
        <v>0.06</v>
      </c>
      <c r="R16" s="10" t="n">
        <v>0.06</v>
      </c>
      <c r="S16" s="10" t="n">
        <v>0.06</v>
      </c>
      <c r="T16" s="10" t="n">
        <v>0.06</v>
      </c>
      <c r="U16" s="10" t="n">
        <v>0.06</v>
      </c>
    </row>
    <row r="17">
      <c r="A17" t="inlineStr">
        <is>
          <t>Tax rate</t>
        </is>
      </c>
      <c r="B17" s="2" t="inlineStr">
        <is>
          <t>%</t>
        </is>
      </c>
      <c r="C17" s="14" t="n">
        <v>0.21</v>
      </c>
      <c r="D17" s="14" t="n">
        <v>0.21</v>
      </c>
      <c r="E17" s="14" t="n">
        <v>0.21</v>
      </c>
      <c r="F17" s="14" t="n">
        <v>0.21</v>
      </c>
      <c r="H17" s="14" t="n">
        <v>0.21</v>
      </c>
      <c r="I17" s="14" t="n">
        <v>0.21</v>
      </c>
      <c r="J17" s="14" t="n">
        <v>0.21</v>
      </c>
      <c r="K17" s="14" t="n">
        <v>0.21</v>
      </c>
      <c r="M17" s="10" t="n">
        <v>0.21</v>
      </c>
      <c r="N17" s="10" t="n">
        <v>0.21</v>
      </c>
      <c r="O17" s="10" t="n">
        <v>0.21</v>
      </c>
      <c r="P17" s="10" t="n">
        <v>0.21</v>
      </c>
      <c r="R17" s="10" t="n">
        <v>0.21</v>
      </c>
      <c r="S17" s="10" t="n">
        <v>0.21</v>
      </c>
      <c r="T17" s="10" t="n">
        <v>0.21</v>
      </c>
      <c r="U17" s="10" t="n">
        <v>0.21</v>
      </c>
    </row>
    <row r="19">
      <c r="A19" s="5" t="inlineStr">
        <is>
          <t>Capital and working capital</t>
        </is>
      </c>
    </row>
    <row r="20">
      <c r="A20" t="inlineStr">
        <is>
          <t>Capital expenditure</t>
        </is>
      </c>
      <c r="B20" s="2" t="inlineStr">
        <is>
          <t>% rev</t>
        </is>
      </c>
      <c r="C20" s="14" t="n">
        <v>0.07000000000000001</v>
      </c>
      <c r="D20" s="14" t="n">
        <v>0.07000000000000001</v>
      </c>
      <c r="E20" s="14" t="n">
        <v>0.07000000000000001</v>
      </c>
      <c r="F20" s="14" t="n">
        <v>0.07000000000000001</v>
      </c>
      <c r="H20" s="14" t="n">
        <v>0.07000000000000001</v>
      </c>
      <c r="I20" s="14" t="n">
        <v>0.07000000000000001</v>
      </c>
      <c r="J20" s="14" t="n">
        <v>0.07000000000000001</v>
      </c>
      <c r="K20" s="14" t="n">
        <v>0.07000000000000001</v>
      </c>
      <c r="M20" s="10" t="n">
        <v>0.07000000000000001</v>
      </c>
      <c r="N20" s="10" t="n">
        <v>0.07000000000000001</v>
      </c>
      <c r="O20" s="10" t="n">
        <v>0.07000000000000001</v>
      </c>
      <c r="P20" s="10" t="n">
        <v>0.07000000000000001</v>
      </c>
      <c r="R20" s="10" t="n">
        <v>0.07000000000000001</v>
      </c>
      <c r="S20" s="10" t="n">
        <v>0.07000000000000001</v>
      </c>
      <c r="T20" s="10" t="n">
        <v>0.07000000000000001</v>
      </c>
      <c r="U20" s="10" t="n">
        <v>0.07000000000000001</v>
      </c>
    </row>
    <row r="21">
      <c r="A21" t="inlineStr">
        <is>
          <t>Depreciation</t>
        </is>
      </c>
      <c r="B21" s="2" t="inlineStr">
        <is>
          <t>% PP&amp;E/qtr</t>
        </is>
      </c>
      <c r="C21" s="14" t="n">
        <v>0.045</v>
      </c>
      <c r="D21" s="14" t="n">
        <v>0.045</v>
      </c>
      <c r="E21" s="14" t="n">
        <v>0.045</v>
      </c>
      <c r="F21" s="14" t="n">
        <v>0.045</v>
      </c>
      <c r="H21" s="14" t="n">
        <v>0.045</v>
      </c>
      <c r="I21" s="14" t="n">
        <v>0.045</v>
      </c>
      <c r="J21" s="14" t="n">
        <v>0.045</v>
      </c>
      <c r="K21" s="14" t="n">
        <v>0.045</v>
      </c>
      <c r="M21" s="10" t="n">
        <v>0.045</v>
      </c>
      <c r="N21" s="10" t="n">
        <v>0.045</v>
      </c>
      <c r="O21" s="10" t="n">
        <v>0.045</v>
      </c>
      <c r="P21" s="10" t="n">
        <v>0.045</v>
      </c>
      <c r="R21" s="10" t="n">
        <v>0.045</v>
      </c>
      <c r="S21" s="10" t="n">
        <v>0.045</v>
      </c>
      <c r="T21" s="10" t="n">
        <v>0.045</v>
      </c>
      <c r="U21" s="10" t="n">
        <v>0.045</v>
      </c>
    </row>
    <row r="22">
      <c r="A22" t="inlineStr">
        <is>
          <t>Receivable days</t>
        </is>
      </c>
      <c r="B22" s="2" t="inlineStr">
        <is>
          <t>days</t>
        </is>
      </c>
      <c r="C22" s="15" t="n">
        <v>52</v>
      </c>
      <c r="D22" s="15" t="n">
        <v>52</v>
      </c>
      <c r="E22" s="15" t="n">
        <v>52</v>
      </c>
      <c r="F22" s="15" t="n">
        <v>52</v>
      </c>
      <c r="H22" s="15" t="n">
        <v>52</v>
      </c>
      <c r="I22" s="15" t="n">
        <v>52</v>
      </c>
      <c r="J22" s="15" t="n">
        <v>52</v>
      </c>
      <c r="K22" s="15" t="n">
        <v>52</v>
      </c>
      <c r="M22" s="16" t="n">
        <v>50</v>
      </c>
      <c r="N22" s="16" t="n">
        <v>50</v>
      </c>
      <c r="O22" s="16" t="n">
        <v>50</v>
      </c>
      <c r="P22" s="16" t="n">
        <v>50</v>
      </c>
      <c r="R22" s="16" t="n">
        <v>50</v>
      </c>
      <c r="S22" s="16" t="n">
        <v>50</v>
      </c>
      <c r="T22" s="16" t="n">
        <v>50</v>
      </c>
      <c r="U22" s="16" t="n">
        <v>50</v>
      </c>
    </row>
    <row r="23">
      <c r="A23" t="inlineStr">
        <is>
          <t>Payable days</t>
        </is>
      </c>
      <c r="B23" s="2" t="inlineStr">
        <is>
          <t>days</t>
        </is>
      </c>
      <c r="C23" s="15" t="n">
        <v>41</v>
      </c>
      <c r="D23" s="15" t="n">
        <v>41</v>
      </c>
      <c r="E23" s="15" t="n">
        <v>41</v>
      </c>
      <c r="F23" s="15" t="n">
        <v>41</v>
      </c>
      <c r="H23" s="15" t="n">
        <v>41</v>
      </c>
      <c r="I23" s="15" t="n">
        <v>41</v>
      </c>
      <c r="J23" s="15" t="n">
        <v>41</v>
      </c>
      <c r="K23" s="15" t="n">
        <v>41</v>
      </c>
      <c r="M23" s="16" t="n">
        <v>41</v>
      </c>
      <c r="N23" s="16" t="n">
        <v>41</v>
      </c>
      <c r="O23" s="16" t="n">
        <v>41</v>
      </c>
      <c r="P23" s="16" t="n">
        <v>41</v>
      </c>
      <c r="R23" s="16" t="n">
        <v>41</v>
      </c>
      <c r="S23" s="16" t="n">
        <v>41</v>
      </c>
      <c r="T23" s="16" t="n">
        <v>41</v>
      </c>
      <c r="U23" s="16" t="n">
        <v>41</v>
      </c>
    </row>
    <row r="25">
      <c r="A25" s="5" t="inlineStr">
        <is>
          <t>Valuation</t>
        </is>
      </c>
    </row>
    <row r="26">
      <c r="A26" t="inlineStr">
        <is>
          <t>Cost of capital (WACC)</t>
        </is>
      </c>
      <c r="C26" s="10" t="n">
        <v>0.095</v>
      </c>
    </row>
    <row r="27">
      <c r="A27" t="inlineStr">
        <is>
          <t>Terminal growth</t>
        </is>
      </c>
      <c r="C27" s="10" t="n">
        <v>0.03</v>
      </c>
    </row>
    <row r="28">
      <c r="A28" t="inlineStr">
        <is>
          <t>Diluted shares</t>
        </is>
      </c>
      <c r="B28" s="2" t="inlineStr">
        <is>
          <t>m</t>
        </is>
      </c>
      <c r="C28" s="17" t="n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2" customWidth="1" min="22" max="22"/>
  </cols>
  <sheetData>
    <row r="1">
      <c r="A1" s="1" t="inlineStr">
        <is>
          <t>Northwind Robotics — Income Statement</t>
        </is>
      </c>
    </row>
    <row r="2">
      <c r="A2" s="2" t="inlineStr">
        <is>
          <t>USD millions. Fiscal year ends 31 December.</t>
        </is>
      </c>
    </row>
    <row r="4">
      <c r="A4" s="3" t="inlineStr">
        <is>
          <t>Line item</t>
        </is>
      </c>
      <c r="B4" s="3" t="inlineStr">
        <is>
          <t>Unit</t>
        </is>
      </c>
      <c r="C4" s="4" t="inlineStr">
        <is>
          <t>1Q24A</t>
        </is>
      </c>
      <c r="D4" s="4" t="inlineStr">
        <is>
          <t>2Q24A</t>
        </is>
      </c>
      <c r="E4" s="4" t="inlineStr">
        <is>
          <t>3Q24A</t>
        </is>
      </c>
      <c r="F4" s="4" t="inlineStr">
        <is>
          <t>4Q24A</t>
        </is>
      </c>
      <c r="G4" s="4" t="inlineStr">
        <is>
          <t>FY24A</t>
        </is>
      </c>
      <c r="H4" s="4" t="inlineStr">
        <is>
          <t>1Q25A</t>
        </is>
      </c>
      <c r="I4" s="4" t="inlineStr">
        <is>
          <t>2Q25A</t>
        </is>
      </c>
      <c r="J4" s="4" t="inlineStr">
        <is>
          <t>3Q25A</t>
        </is>
      </c>
      <c r="K4" s="4" t="inlineStr">
        <is>
          <t>4Q25A</t>
        </is>
      </c>
      <c r="L4" s="4" t="inlineStr">
        <is>
          <t>FY25A</t>
        </is>
      </c>
      <c r="M4" s="4" t="inlineStr">
        <is>
          <t>1Q26E</t>
        </is>
      </c>
      <c r="N4" s="4" t="inlineStr">
        <is>
          <t>2Q26E</t>
        </is>
      </c>
      <c r="O4" s="4" t="inlineStr">
        <is>
          <t>3Q26E</t>
        </is>
      </c>
      <c r="P4" s="4" t="inlineStr">
        <is>
          <t>4Q26E</t>
        </is>
      </c>
      <c r="Q4" s="4" t="inlineStr">
        <is>
          <t>FY26E</t>
        </is>
      </c>
      <c r="R4" s="4" t="inlineStr">
        <is>
          <t>1Q27E</t>
        </is>
      </c>
      <c r="S4" s="4" t="inlineStr">
        <is>
          <t>2Q27E</t>
        </is>
      </c>
      <c r="T4" s="4" t="inlineStr">
        <is>
          <t>3Q27E</t>
        </is>
      </c>
      <c r="U4" s="4" t="inlineStr">
        <is>
          <t>4Q27E</t>
        </is>
      </c>
      <c r="V4" s="4" t="inlineStr">
        <is>
          <t>FY27E</t>
        </is>
      </c>
    </row>
    <row r="6">
      <c r="A6" s="5" t="inlineStr">
        <is>
          <t>Revenue build</t>
        </is>
      </c>
    </row>
    <row r="7">
      <c r="A7" s="5" t="inlineStr">
        <is>
          <t>Revenue</t>
        </is>
      </c>
      <c r="B7" s="2" t="inlineStr">
        <is>
          <t>USDm</t>
        </is>
      </c>
      <c r="C7" s="18">
        <f>C8</f>
        <v/>
      </c>
      <c r="D7" s="18">
        <f>D8</f>
        <v/>
      </c>
      <c r="E7" s="18">
        <f>E8</f>
        <v/>
      </c>
      <c r="F7" s="18">
        <f>F8</f>
        <v/>
      </c>
      <c r="G7" s="19">
        <f>SUM(C7:F7)</f>
        <v/>
      </c>
      <c r="H7" s="18">
        <f>H8</f>
        <v/>
      </c>
      <c r="I7" s="18">
        <f>I8</f>
        <v/>
      </c>
      <c r="J7" s="18">
        <f>J8</f>
        <v/>
      </c>
      <c r="K7" s="18">
        <f>K8</f>
        <v/>
      </c>
      <c r="L7" s="19">
        <f>SUM(H7:K7)</f>
        <v/>
      </c>
      <c r="M7" s="18">
        <f>M8</f>
        <v/>
      </c>
      <c r="N7" s="18">
        <f>N8</f>
        <v/>
      </c>
      <c r="O7" s="18">
        <f>O8</f>
        <v/>
      </c>
      <c r="P7" s="18">
        <f>P8</f>
        <v/>
      </c>
      <c r="Q7" s="19">
        <f>SUM(M7:P7)</f>
        <v/>
      </c>
      <c r="R7" s="18">
        <f>R8</f>
        <v/>
      </c>
      <c r="S7" s="18">
        <f>S8</f>
        <v/>
      </c>
      <c r="T7" s="18">
        <f>T8</f>
        <v/>
      </c>
      <c r="U7" s="18">
        <f>U8</f>
        <v/>
      </c>
      <c r="V7" s="19">
        <f>SUM(R7:U7)</f>
        <v/>
      </c>
    </row>
    <row r="8">
      <c r="A8" s="9" t="inlineStr">
        <is>
          <t>Hardware revenue</t>
        </is>
      </c>
      <c r="B8" s="2" t="inlineStr">
        <is>
          <t>USDm</t>
        </is>
      </c>
      <c r="C8" s="20">
        <f>'Assumptions'!C7*'Assumptions'!C9</f>
        <v/>
      </c>
      <c r="D8" s="20">
        <f>'Assumptions'!D7*'Assumptions'!D9</f>
        <v/>
      </c>
      <c r="E8" s="20">
        <f>'Assumptions'!E7*'Assumptions'!E9</f>
        <v/>
      </c>
      <c r="F8" s="20">
        <f>'Assumptions'!F7*'Assumptions'!F9</f>
        <v/>
      </c>
      <c r="G8" s="21">
        <f>SUM(C8:F8)</f>
        <v/>
      </c>
      <c r="H8" s="20">
        <f>'Assumptions'!H7*'Assumptions'!H9</f>
        <v/>
      </c>
      <c r="I8" s="20">
        <f>'Assumptions'!I7*'Assumptions'!I9</f>
        <v/>
      </c>
      <c r="J8" s="20">
        <f>'Assumptions'!J7*'Assumptions'!J9</f>
        <v/>
      </c>
      <c r="K8" s="20">
        <f>'Assumptions'!K7*'Assumptions'!K9</f>
        <v/>
      </c>
      <c r="L8" s="21">
        <f>SUM(H8:K8)</f>
        <v/>
      </c>
      <c r="M8" s="20">
        <f>'Assumptions'!M7*'Assumptions'!M9</f>
        <v/>
      </c>
      <c r="N8" s="20">
        <f>'Assumptions'!N7*'Assumptions'!N9</f>
        <v/>
      </c>
      <c r="O8" s="20">
        <f>'Assumptions'!O7*'Assumptions'!O9</f>
        <v/>
      </c>
      <c r="P8" s="20">
        <f>'Assumptions'!P7*'Assumptions'!P9</f>
        <v/>
      </c>
      <c r="Q8" s="21">
        <f>SUM(M8:P8)</f>
        <v/>
      </c>
      <c r="R8" s="20">
        <f>'Assumptions'!R7*'Assumptions'!R9</f>
        <v/>
      </c>
      <c r="S8" s="20">
        <f>'Assumptions'!S7*'Assumptions'!S9</f>
        <v/>
      </c>
      <c r="T8" s="20">
        <f>'Assumptions'!T7*'Assumptions'!T9</f>
        <v/>
      </c>
      <c r="U8" s="20">
        <f>'Assumptions'!U7*'Assumptions'!U9</f>
        <v/>
      </c>
      <c r="V8" s="21">
        <f>SUM(R8:U8)</f>
        <v/>
      </c>
    </row>
    <row r="9">
      <c r="A9" s="22" t="inlineStr">
        <is>
          <t>Robots shipped</t>
        </is>
      </c>
      <c r="B9" s="2" t="inlineStr">
        <is>
          <t>k</t>
        </is>
      </c>
      <c r="C9" s="23">
        <f>'Assumptions'!C7</f>
        <v/>
      </c>
      <c r="D9" s="23">
        <f>'Assumptions'!D7</f>
        <v/>
      </c>
      <c r="E9" s="23">
        <f>'Assumptions'!E7</f>
        <v/>
      </c>
      <c r="F9" s="23">
        <f>'Assumptions'!F7</f>
        <v/>
      </c>
      <c r="G9" s="24">
        <f>SUM(C9:F9)</f>
        <v/>
      </c>
      <c r="H9" s="23">
        <f>'Assumptions'!H7</f>
        <v/>
      </c>
      <c r="I9" s="23">
        <f>'Assumptions'!I7</f>
        <v/>
      </c>
      <c r="J9" s="23">
        <f>'Assumptions'!J7</f>
        <v/>
      </c>
      <c r="K9" s="23">
        <f>'Assumptions'!K7</f>
        <v/>
      </c>
      <c r="L9" s="24">
        <f>SUM(H9:K9)</f>
        <v/>
      </c>
      <c r="M9" s="23">
        <f>'Assumptions'!M7</f>
        <v/>
      </c>
      <c r="N9" s="23">
        <f>'Assumptions'!N7</f>
        <v/>
      </c>
      <c r="O9" s="23">
        <f>'Assumptions'!O7</f>
        <v/>
      </c>
      <c r="P9" s="23">
        <f>'Assumptions'!P7</f>
        <v/>
      </c>
      <c r="Q9" s="24">
        <f>SUM(M9:P9)</f>
        <v/>
      </c>
      <c r="R9" s="23">
        <f>'Assumptions'!R7</f>
        <v/>
      </c>
      <c r="S9" s="23">
        <f>'Assumptions'!S7</f>
        <v/>
      </c>
      <c r="T9" s="23">
        <f>'Assumptions'!T7</f>
        <v/>
      </c>
      <c r="U9" s="23">
        <f>'Assumptions'!U7</f>
        <v/>
      </c>
      <c r="V9" s="24">
        <f>SUM(R9:U9)</f>
        <v/>
      </c>
    </row>
    <row r="10">
      <c r="A10" s="22" t="inlineStr">
        <is>
          <t>Average selling price</t>
        </is>
      </c>
      <c r="B10" s="2" t="inlineStr">
        <is>
          <t>USD k</t>
        </is>
      </c>
      <c r="C10" s="25">
        <f>'Assumptions'!C9</f>
        <v/>
      </c>
      <c r="D10" s="25">
        <f>'Assumptions'!D9</f>
        <v/>
      </c>
      <c r="E10" s="25">
        <f>'Assumptions'!E9</f>
        <v/>
      </c>
      <c r="F10" s="25">
        <f>'Assumptions'!F9</f>
        <v/>
      </c>
      <c r="G10" s="26">
        <f>'Assumptions'!G9</f>
        <v/>
      </c>
      <c r="H10" s="25">
        <f>'Assumptions'!H9</f>
        <v/>
      </c>
      <c r="I10" s="25">
        <f>'Assumptions'!I9</f>
        <v/>
      </c>
      <c r="J10" s="25">
        <f>'Assumptions'!J9</f>
        <v/>
      </c>
      <c r="K10" s="25">
        <f>'Assumptions'!K9</f>
        <v/>
      </c>
      <c r="L10" s="26">
        <f>'Assumptions'!L9</f>
        <v/>
      </c>
      <c r="M10" s="25">
        <f>'Assumptions'!M9</f>
        <v/>
      </c>
      <c r="N10" s="25">
        <f>'Assumptions'!N9</f>
        <v/>
      </c>
      <c r="O10" s="25">
        <f>'Assumptions'!O9</f>
        <v/>
      </c>
      <c r="P10" s="25">
        <f>'Assumptions'!P9</f>
        <v/>
      </c>
      <c r="Q10" s="26">
        <f>'Assumptions'!Q9</f>
        <v/>
      </c>
      <c r="R10" s="25">
        <f>'Assumptions'!R9</f>
        <v/>
      </c>
      <c r="S10" s="25">
        <f>'Assumptions'!S9</f>
        <v/>
      </c>
      <c r="T10" s="25">
        <f>'Assumptions'!T9</f>
        <v/>
      </c>
      <c r="U10" s="25">
        <f>'Assumptions'!U9</f>
        <v/>
      </c>
      <c r="V10" s="26">
        <f>'Assumptions'!V9</f>
        <v/>
      </c>
    </row>
    <row r="11">
      <c r="A11" s="27" t="inlineStr">
        <is>
          <t>Revenue growth, year on year</t>
        </is>
      </c>
      <c r="B11" s="2" t="inlineStr">
        <is>
          <t>%</t>
        </is>
      </c>
      <c r="H11" s="28">
        <f>H7/C7-1</f>
        <v/>
      </c>
      <c r="I11" s="28">
        <f>I7/D7-1</f>
        <v/>
      </c>
      <c r="J11" s="28">
        <f>J7/E7-1</f>
        <v/>
      </c>
      <c r="K11" s="28">
        <f>K7/F7-1</f>
        <v/>
      </c>
      <c r="L11" s="29">
        <f>L7/G7-1</f>
        <v/>
      </c>
      <c r="M11" s="28">
        <f>M7/H7-1</f>
        <v/>
      </c>
      <c r="N11" s="28">
        <f>N7/I7-1</f>
        <v/>
      </c>
      <c r="O11" s="28">
        <f>O7/J7-1</f>
        <v/>
      </c>
      <c r="P11" s="28">
        <f>P7/K7-1</f>
        <v/>
      </c>
      <c r="Q11" s="29">
        <f>Q7/L7-1</f>
        <v/>
      </c>
      <c r="R11" s="28">
        <f>R7/M7-1</f>
        <v/>
      </c>
      <c r="S11" s="28">
        <f>S7/N7-1</f>
        <v/>
      </c>
      <c r="T11" s="28">
        <f>T7/O7-1</f>
        <v/>
      </c>
      <c r="U11" s="28">
        <f>U7/P7-1</f>
        <v/>
      </c>
      <c r="V11" s="29">
        <f>V7/Q7-1</f>
        <v/>
      </c>
    </row>
    <row r="13">
      <c r="A13" s="5" t="inlineStr">
        <is>
          <t>Profit and loss</t>
        </is>
      </c>
    </row>
    <row r="14">
      <c r="A14" t="inlineStr">
        <is>
          <t>Cost of revenue</t>
        </is>
      </c>
      <c r="B14" s="2" t="inlineStr">
        <is>
          <t>USDm</t>
        </is>
      </c>
      <c r="C14" s="20">
        <f>-C7*(1-'Assumptions'!C13)</f>
        <v/>
      </c>
      <c r="D14" s="20">
        <f>-D7*(1-'Assumptions'!D13)</f>
        <v/>
      </c>
      <c r="E14" s="20">
        <f>-E7*(1-'Assumptions'!E13)</f>
        <v/>
      </c>
      <c r="F14" s="20">
        <f>-F7*(1-'Assumptions'!F13)</f>
        <v/>
      </c>
      <c r="G14" s="21">
        <f>SUM(C14:F14)</f>
        <v/>
      </c>
      <c r="H14" s="20">
        <f>-H7*(1-'Assumptions'!H13)</f>
        <v/>
      </c>
      <c r="I14" s="20">
        <f>-I7*(1-'Assumptions'!I13)</f>
        <v/>
      </c>
      <c r="J14" s="20">
        <f>-J7*(1-'Assumptions'!J13)</f>
        <v/>
      </c>
      <c r="K14" s="20">
        <f>-K7*(1-'Assumptions'!K13)</f>
        <v/>
      </c>
      <c r="L14" s="21">
        <f>SUM(H14:K14)</f>
        <v/>
      </c>
      <c r="M14" s="20">
        <f>-M7*(1-'Assumptions'!M13)</f>
        <v/>
      </c>
      <c r="N14" s="20">
        <f>-N7*(1-'Assumptions'!N13)</f>
        <v/>
      </c>
      <c r="O14" s="20">
        <f>-O7*(1-'Assumptions'!O13)</f>
        <v/>
      </c>
      <c r="P14" s="20">
        <f>-P7*(1-'Assumptions'!P13)</f>
        <v/>
      </c>
      <c r="Q14" s="21">
        <f>SUM(M14:P14)</f>
        <v/>
      </c>
      <c r="R14" s="20">
        <f>-R7*(1-'Assumptions'!R13)</f>
        <v/>
      </c>
      <c r="S14" s="20">
        <f>-S7*(1-'Assumptions'!S13)</f>
        <v/>
      </c>
      <c r="T14" s="20">
        <f>-T7*(1-'Assumptions'!T13)</f>
        <v/>
      </c>
      <c r="U14" s="20">
        <f>-U7*(1-'Assumptions'!U13)</f>
        <v/>
      </c>
      <c r="V14" s="21">
        <f>SUM(R14:U14)</f>
        <v/>
      </c>
    </row>
    <row r="15">
      <c r="A15" s="5" t="inlineStr">
        <is>
          <t>Gross profit</t>
        </is>
      </c>
      <c r="B15" s="2" t="inlineStr">
        <is>
          <t>USDm</t>
        </is>
      </c>
      <c r="C15" s="18">
        <f>C7+C14</f>
        <v/>
      </c>
      <c r="D15" s="18">
        <f>D7+D14</f>
        <v/>
      </c>
      <c r="E15" s="18">
        <f>E7+E14</f>
        <v/>
      </c>
      <c r="F15" s="18">
        <f>F7+F14</f>
        <v/>
      </c>
      <c r="G15" s="19">
        <f>SUM(C15:F15)</f>
        <v/>
      </c>
      <c r="H15" s="18">
        <f>H7+H14</f>
        <v/>
      </c>
      <c r="I15" s="18">
        <f>I7+I14</f>
        <v/>
      </c>
      <c r="J15" s="18">
        <f>J7+J14</f>
        <v/>
      </c>
      <c r="K15" s="18">
        <f>K7+K14</f>
        <v/>
      </c>
      <c r="L15" s="19">
        <f>SUM(H15:K15)</f>
        <v/>
      </c>
      <c r="M15" s="18">
        <f>M7+M14</f>
        <v/>
      </c>
      <c r="N15" s="18">
        <f>N7+N14</f>
        <v/>
      </c>
      <c r="O15" s="18">
        <f>O7+O14</f>
        <v/>
      </c>
      <c r="P15" s="18">
        <f>P7+P14</f>
        <v/>
      </c>
      <c r="Q15" s="19">
        <f>SUM(M15:P15)</f>
        <v/>
      </c>
      <c r="R15" s="18">
        <f>R7+R14</f>
        <v/>
      </c>
      <c r="S15" s="18">
        <f>S7+S14</f>
        <v/>
      </c>
      <c r="T15" s="18">
        <f>T7+T14</f>
        <v/>
      </c>
      <c r="U15" s="18">
        <f>U7+U14</f>
        <v/>
      </c>
      <c r="V15" s="19">
        <f>SUM(R15:U15)</f>
        <v/>
      </c>
    </row>
    <row r="16">
      <c r="A16" s="27" t="inlineStr">
        <is>
          <t>Gross margin</t>
        </is>
      </c>
      <c r="B16" s="2" t="inlineStr">
        <is>
          <t>%</t>
        </is>
      </c>
      <c r="C16" s="28">
        <f>C15/C7</f>
        <v/>
      </c>
      <c r="D16" s="28">
        <f>D15/D7</f>
        <v/>
      </c>
      <c r="E16" s="28">
        <f>E15/E7</f>
        <v/>
      </c>
      <c r="F16" s="28">
        <f>F15/F7</f>
        <v/>
      </c>
      <c r="G16" s="29">
        <f>G15/G7</f>
        <v/>
      </c>
      <c r="H16" s="28">
        <f>H15/H7</f>
        <v/>
      </c>
      <c r="I16" s="28">
        <f>I15/I7</f>
        <v/>
      </c>
      <c r="J16" s="28">
        <f>J15/J7</f>
        <v/>
      </c>
      <c r="K16" s="28">
        <f>K15/K7</f>
        <v/>
      </c>
      <c r="L16" s="29">
        <f>L15/L7</f>
        <v/>
      </c>
      <c r="M16" s="28">
        <f>M15/M7</f>
        <v/>
      </c>
      <c r="N16" s="28">
        <f>N15/N7</f>
        <v/>
      </c>
      <c r="O16" s="28">
        <f>O15/O7</f>
        <v/>
      </c>
      <c r="P16" s="28">
        <f>P15/P7</f>
        <v/>
      </c>
      <c r="Q16" s="29">
        <f>Q15/Q7</f>
        <v/>
      </c>
      <c r="R16" s="28">
        <f>R15/R7</f>
        <v/>
      </c>
      <c r="S16" s="28">
        <f>S15/S7</f>
        <v/>
      </c>
      <c r="T16" s="28">
        <f>T15/T7</f>
        <v/>
      </c>
      <c r="U16" s="28">
        <f>U15/U7</f>
        <v/>
      </c>
      <c r="V16" s="29">
        <f>V15/V7</f>
        <v/>
      </c>
    </row>
    <row r="17">
      <c r="A17" s="9" t="inlineStr">
        <is>
          <t>Research &amp; development</t>
        </is>
      </c>
      <c r="B17" s="2" t="inlineStr">
        <is>
          <t>USDm</t>
        </is>
      </c>
      <c r="C17" s="20">
        <f>-C7*'Assumptions'!C14</f>
        <v/>
      </c>
      <c r="D17" s="20">
        <f>-D7*'Assumptions'!D14</f>
        <v/>
      </c>
      <c r="E17" s="20">
        <f>-E7*'Assumptions'!E14</f>
        <v/>
      </c>
      <c r="F17" s="20">
        <f>-F7*'Assumptions'!F14</f>
        <v/>
      </c>
      <c r="G17" s="21">
        <f>SUM(C17:F17)</f>
        <v/>
      </c>
      <c r="H17" s="20">
        <f>-H7*'Assumptions'!H14</f>
        <v/>
      </c>
      <c r="I17" s="20">
        <f>-I7*'Assumptions'!I14</f>
        <v/>
      </c>
      <c r="J17" s="20">
        <f>-J7*'Assumptions'!J14</f>
        <v/>
      </c>
      <c r="K17" s="20">
        <f>-K7*'Assumptions'!K14</f>
        <v/>
      </c>
      <c r="L17" s="21">
        <f>SUM(H17:K17)</f>
        <v/>
      </c>
      <c r="M17" s="20">
        <f>-M7*'Assumptions'!M14</f>
        <v/>
      </c>
      <c r="N17" s="20">
        <f>-N7*'Assumptions'!N14</f>
        <v/>
      </c>
      <c r="O17" s="20">
        <f>-O7*'Assumptions'!O14</f>
        <v/>
      </c>
      <c r="P17" s="20">
        <f>-P7*'Assumptions'!P14</f>
        <v/>
      </c>
      <c r="Q17" s="21">
        <f>SUM(M17:P17)</f>
        <v/>
      </c>
      <c r="R17" s="20">
        <f>-R7*'Assumptions'!R14</f>
        <v/>
      </c>
      <c r="S17" s="20">
        <f>-S7*'Assumptions'!S14</f>
        <v/>
      </c>
      <c r="T17" s="20">
        <f>-T7*'Assumptions'!T14</f>
        <v/>
      </c>
      <c r="U17" s="20">
        <f>-U7*'Assumptions'!U14</f>
        <v/>
      </c>
      <c r="V17" s="21">
        <f>SUM(R17:U17)</f>
        <v/>
      </c>
    </row>
    <row r="18">
      <c r="A18" s="9" t="inlineStr">
        <is>
          <t>Sales &amp; marketing</t>
        </is>
      </c>
      <c r="B18" s="2" t="inlineStr">
        <is>
          <t>USDm</t>
        </is>
      </c>
      <c r="C18" s="20">
        <f>-C7*'Assumptions'!C15</f>
        <v/>
      </c>
      <c r="D18" s="20">
        <f>-D7*'Assumptions'!D15</f>
        <v/>
      </c>
      <c r="E18" s="20">
        <f>-E7*'Assumptions'!E15</f>
        <v/>
      </c>
      <c r="F18" s="20">
        <f>-F7*'Assumptions'!F15</f>
        <v/>
      </c>
      <c r="G18" s="21">
        <f>SUM(C18:F18)</f>
        <v/>
      </c>
      <c r="H18" s="20">
        <f>-H7*'Assumptions'!H15</f>
        <v/>
      </c>
      <c r="I18" s="20">
        <f>-I7*'Assumptions'!I15</f>
        <v/>
      </c>
      <c r="J18" s="20">
        <f>-J7*'Assumptions'!J15</f>
        <v/>
      </c>
      <c r="K18" s="20">
        <f>-K7*'Assumptions'!K15</f>
        <v/>
      </c>
      <c r="L18" s="21">
        <f>SUM(H18:K18)</f>
        <v/>
      </c>
      <c r="M18" s="20">
        <f>-M7*'Assumptions'!M15</f>
        <v/>
      </c>
      <c r="N18" s="20">
        <f>-N7*'Assumptions'!N15</f>
        <v/>
      </c>
      <c r="O18" s="20">
        <f>-O7*'Assumptions'!O15</f>
        <v/>
      </c>
      <c r="P18" s="20">
        <f>-P7*'Assumptions'!P15</f>
        <v/>
      </c>
      <c r="Q18" s="21">
        <f>SUM(M18:P18)</f>
        <v/>
      </c>
      <c r="R18" s="20">
        <f>-R7*'Assumptions'!R15</f>
        <v/>
      </c>
      <c r="S18" s="20">
        <f>-S7*'Assumptions'!S15</f>
        <v/>
      </c>
      <c r="T18" s="20">
        <f>-T7*'Assumptions'!T15</f>
        <v/>
      </c>
      <c r="U18" s="20">
        <f>-U7*'Assumptions'!U15</f>
        <v/>
      </c>
      <c r="V18" s="21">
        <f>SUM(R18:U18)</f>
        <v/>
      </c>
    </row>
    <row r="19">
      <c r="A19" s="9" t="inlineStr">
        <is>
          <t>General &amp; administrative</t>
        </is>
      </c>
      <c r="B19" s="2" t="inlineStr">
        <is>
          <t>USDm</t>
        </is>
      </c>
      <c r="C19" s="20">
        <f>-C7*'Assumptions'!C16</f>
        <v/>
      </c>
      <c r="D19" s="20">
        <f>-D7*'Assumptions'!D16</f>
        <v/>
      </c>
      <c r="E19" s="20">
        <f>-E7*'Assumptions'!E16</f>
        <v/>
      </c>
      <c r="F19" s="20">
        <f>-F7*'Assumptions'!F16</f>
        <v/>
      </c>
      <c r="G19" s="21">
        <f>SUM(C19:F19)</f>
        <v/>
      </c>
      <c r="H19" s="20">
        <f>-H7*'Assumptions'!H16</f>
        <v/>
      </c>
      <c r="I19" s="20">
        <f>-I7*'Assumptions'!I16</f>
        <v/>
      </c>
      <c r="J19" s="20">
        <f>-J7*'Assumptions'!J16</f>
        <v/>
      </c>
      <c r="K19" s="20">
        <f>-K7*'Assumptions'!K16</f>
        <v/>
      </c>
      <c r="L19" s="21">
        <f>SUM(H19:K19)</f>
        <v/>
      </c>
      <c r="M19" s="20">
        <f>-M7*'Assumptions'!M16</f>
        <v/>
      </c>
      <c r="N19" s="20">
        <f>-N7*'Assumptions'!N16</f>
        <v/>
      </c>
      <c r="O19" s="20">
        <f>-O7*'Assumptions'!O16</f>
        <v/>
      </c>
      <c r="P19" s="20">
        <f>-P7*'Assumptions'!P16</f>
        <v/>
      </c>
      <c r="Q19" s="21">
        <f>SUM(M19:P19)</f>
        <v/>
      </c>
      <c r="R19" s="20">
        <f>-R7*'Assumptions'!R16</f>
        <v/>
      </c>
      <c r="S19" s="20">
        <f>-S7*'Assumptions'!S16</f>
        <v/>
      </c>
      <c r="T19" s="20">
        <f>-T7*'Assumptions'!T16</f>
        <v/>
      </c>
      <c r="U19" s="20">
        <f>-U7*'Assumptions'!U16</f>
        <v/>
      </c>
      <c r="V19" s="21">
        <f>SUM(R19:U19)</f>
        <v/>
      </c>
    </row>
    <row r="20">
      <c r="A20" s="5" t="inlineStr">
        <is>
          <t>Operating income</t>
        </is>
      </c>
      <c r="B20" s="2" t="inlineStr">
        <is>
          <t>USDm</t>
        </is>
      </c>
      <c r="C20" s="18">
        <f>C15+SUM(C17:C19)</f>
        <v/>
      </c>
      <c r="D20" s="18">
        <f>D15+SUM(D17:D19)</f>
        <v/>
      </c>
      <c r="E20" s="18">
        <f>E15+SUM(E17:E19)</f>
        <v/>
      </c>
      <c r="F20" s="18">
        <f>F15+SUM(F17:F19)</f>
        <v/>
      </c>
      <c r="G20" s="19">
        <f>SUM(C20:F20)</f>
        <v/>
      </c>
      <c r="H20" s="18">
        <f>H15+SUM(H17:H19)</f>
        <v/>
      </c>
      <c r="I20" s="18">
        <f>I15+SUM(I17:I19)</f>
        <v/>
      </c>
      <c r="J20" s="18">
        <f>J15+SUM(J17:J19)</f>
        <v/>
      </c>
      <c r="K20" s="18">
        <f>K15+SUM(K17:K19)</f>
        <v/>
      </c>
      <c r="L20" s="19">
        <f>SUM(H20:K20)</f>
        <v/>
      </c>
      <c r="M20" s="18">
        <f>M15+SUM(M17:M19)</f>
        <v/>
      </c>
      <c r="N20" s="18">
        <f>N15+SUM(N17:N19)</f>
        <v/>
      </c>
      <c r="O20" s="18">
        <f>O15+SUM(O17:O19)</f>
        <v/>
      </c>
      <c r="P20" s="18">
        <f>P15+SUM(P17:P19)</f>
        <v/>
      </c>
      <c r="Q20" s="19">
        <f>SUM(M20:P20)</f>
        <v/>
      </c>
      <c r="R20" s="18">
        <f>R15+SUM(R17:R19)</f>
        <v/>
      </c>
      <c r="S20" s="18">
        <f>S15+SUM(S17:S19)</f>
        <v/>
      </c>
      <c r="T20" s="18">
        <f>T15+SUM(T17:T19)</f>
        <v/>
      </c>
      <c r="U20" s="18">
        <f>U15+SUM(U17:U19)</f>
        <v/>
      </c>
      <c r="V20" s="19">
        <f>SUM(R20:U20)</f>
        <v/>
      </c>
    </row>
    <row r="21">
      <c r="A21" s="27" t="inlineStr">
        <is>
          <t>Operating margin</t>
        </is>
      </c>
      <c r="B21" s="2" t="inlineStr">
        <is>
          <t>%</t>
        </is>
      </c>
      <c r="C21" s="28">
        <f>C20/C7</f>
        <v/>
      </c>
      <c r="D21" s="28">
        <f>D20/D7</f>
        <v/>
      </c>
      <c r="E21" s="28">
        <f>E20/E7</f>
        <v/>
      </c>
      <c r="F21" s="28">
        <f>F20/F7</f>
        <v/>
      </c>
      <c r="G21" s="29">
        <f>G20/G7</f>
        <v/>
      </c>
      <c r="H21" s="28">
        <f>H20/H7</f>
        <v/>
      </c>
      <c r="I21" s="28">
        <f>I20/I7</f>
        <v/>
      </c>
      <c r="J21" s="28">
        <f>J20/J7</f>
        <v/>
      </c>
      <c r="K21" s="28">
        <f>K20/K7</f>
        <v/>
      </c>
      <c r="L21" s="29">
        <f>L20/L7</f>
        <v/>
      </c>
      <c r="M21" s="28">
        <f>M20/M7</f>
        <v/>
      </c>
      <c r="N21" s="28">
        <f>N20/N7</f>
        <v/>
      </c>
      <c r="O21" s="28">
        <f>O20/O7</f>
        <v/>
      </c>
      <c r="P21" s="28">
        <f>P20/P7</f>
        <v/>
      </c>
      <c r="Q21" s="29">
        <f>Q20/Q7</f>
        <v/>
      </c>
      <c r="R21" s="28">
        <f>R20/R7</f>
        <v/>
      </c>
      <c r="S21" s="28">
        <f>S20/S7</f>
        <v/>
      </c>
      <c r="T21" s="28">
        <f>T20/T7</f>
        <v/>
      </c>
      <c r="U21" s="28">
        <f>U20/U7</f>
        <v/>
      </c>
      <c r="V21" s="29">
        <f>V20/V7</f>
        <v/>
      </c>
    </row>
    <row r="22">
      <c r="A22" t="inlineStr">
        <is>
          <t>Tax</t>
        </is>
      </c>
      <c r="B22" s="2" t="inlineStr">
        <is>
          <t>USDm</t>
        </is>
      </c>
      <c r="C22" s="20">
        <f>-MAX(0,C20)*'Assumptions'!C17</f>
        <v/>
      </c>
      <c r="D22" s="20">
        <f>-MAX(0,D20)*'Assumptions'!D17</f>
        <v/>
      </c>
      <c r="E22" s="20">
        <f>-MAX(0,E20)*'Assumptions'!E17</f>
        <v/>
      </c>
      <c r="F22" s="20">
        <f>-MAX(0,F20)*'Assumptions'!F17</f>
        <v/>
      </c>
      <c r="G22" s="21">
        <f>SUM(C22:F22)</f>
        <v/>
      </c>
      <c r="H22" s="20">
        <f>-MAX(0,H20)*'Assumptions'!H17</f>
        <v/>
      </c>
      <c r="I22" s="20">
        <f>-MAX(0,I20)*'Assumptions'!I17</f>
        <v/>
      </c>
      <c r="J22" s="20">
        <f>-MAX(0,J20)*'Assumptions'!J17</f>
        <v/>
      </c>
      <c r="K22" s="20">
        <f>-MAX(0,K20)*'Assumptions'!K17</f>
        <v/>
      </c>
      <c r="L22" s="21">
        <f>SUM(H22:K22)</f>
        <v/>
      </c>
      <c r="M22" s="20">
        <f>-MAX(0,M20)*'Assumptions'!M17</f>
        <v/>
      </c>
      <c r="N22" s="20">
        <f>-MAX(0,N20)*'Assumptions'!N17</f>
        <v/>
      </c>
      <c r="O22" s="20">
        <f>-MAX(0,O20)*'Assumptions'!O17</f>
        <v/>
      </c>
      <c r="P22" s="20">
        <f>-MAX(0,P20)*'Assumptions'!P17</f>
        <v/>
      </c>
      <c r="Q22" s="21">
        <f>SUM(M22:P22)</f>
        <v/>
      </c>
      <c r="R22" s="20">
        <f>-MAX(0,R20)*'Assumptions'!R17</f>
        <v/>
      </c>
      <c r="S22" s="20">
        <f>-MAX(0,S20)*'Assumptions'!S17</f>
        <v/>
      </c>
      <c r="T22" s="20">
        <f>-MAX(0,T20)*'Assumptions'!T17</f>
        <v/>
      </c>
      <c r="U22" s="20">
        <f>-MAX(0,U20)*'Assumptions'!U17</f>
        <v/>
      </c>
      <c r="V22" s="21">
        <f>SUM(R22:U22)</f>
        <v/>
      </c>
    </row>
    <row r="23">
      <c r="A23" s="5" t="inlineStr">
        <is>
          <t>Net income</t>
        </is>
      </c>
      <c r="B23" s="2" t="inlineStr">
        <is>
          <t>USDm</t>
        </is>
      </c>
      <c r="C23" s="18">
        <f>C20+C22</f>
        <v/>
      </c>
      <c r="D23" s="18">
        <f>D20+D22</f>
        <v/>
      </c>
      <c r="E23" s="18">
        <f>E20+E22</f>
        <v/>
      </c>
      <c r="F23" s="18">
        <f>F20+F22</f>
        <v/>
      </c>
      <c r="G23" s="19">
        <f>SUM(C23:F23)</f>
        <v/>
      </c>
      <c r="H23" s="18">
        <f>H20+H22</f>
        <v/>
      </c>
      <c r="I23" s="18">
        <f>I20+I22</f>
        <v/>
      </c>
      <c r="J23" s="18">
        <f>J20+J22</f>
        <v/>
      </c>
      <c r="K23" s="18">
        <f>K20+K22</f>
        <v/>
      </c>
      <c r="L23" s="19">
        <f>SUM(H23:K23)</f>
        <v/>
      </c>
      <c r="M23" s="18">
        <f>M20+M22</f>
        <v/>
      </c>
      <c r="N23" s="18">
        <f>N20+N22</f>
        <v/>
      </c>
      <c r="O23" s="18">
        <f>O20+O22</f>
        <v/>
      </c>
      <c r="P23" s="18">
        <f>P20+P22</f>
        <v/>
      </c>
      <c r="Q23" s="19">
        <f>SUM(M23:P23)</f>
        <v/>
      </c>
      <c r="R23" s="18">
        <f>R20+R22</f>
        <v/>
      </c>
      <c r="S23" s="18">
        <f>S20+S22</f>
        <v/>
      </c>
      <c r="T23" s="18">
        <f>T20+T22</f>
        <v/>
      </c>
      <c r="U23" s="18">
        <f>U20+U22</f>
        <v/>
      </c>
      <c r="V23" s="19">
        <f>SUM(R23:U23)</f>
        <v/>
      </c>
    </row>
    <row r="24">
      <c r="A24" t="inlineStr">
        <is>
          <t>Earnings per share</t>
        </is>
      </c>
      <c r="B24" s="2" t="inlineStr">
        <is>
          <t>USD</t>
        </is>
      </c>
      <c r="C24" s="30">
        <f>C23/Assumptions!$C$28</f>
        <v/>
      </c>
      <c r="D24" s="30">
        <f>D23/Assumptions!$C$28</f>
        <v/>
      </c>
      <c r="E24" s="30">
        <f>E23/Assumptions!$C$28</f>
        <v/>
      </c>
      <c r="F24" s="30">
        <f>F23/Assumptions!$C$28</f>
        <v/>
      </c>
      <c r="G24" s="31">
        <f>SUM(C24:F24)</f>
        <v/>
      </c>
      <c r="H24" s="30">
        <f>H23/Assumptions!$C$28</f>
        <v/>
      </c>
      <c r="I24" s="30">
        <f>I23/Assumptions!$C$28</f>
        <v/>
      </c>
      <c r="J24" s="30">
        <f>J23/Assumptions!$C$28</f>
        <v/>
      </c>
      <c r="K24" s="30">
        <f>K23/Assumptions!$C$28</f>
        <v/>
      </c>
      <c r="L24" s="31">
        <f>SUM(H24:K24)</f>
        <v/>
      </c>
      <c r="M24" s="30">
        <f>M23/Assumptions!$C$28</f>
        <v/>
      </c>
      <c r="N24" s="30">
        <f>N23/Assumptions!$C$28</f>
        <v/>
      </c>
      <c r="O24" s="30">
        <f>O23/Assumptions!$C$28</f>
        <v/>
      </c>
      <c r="P24" s="30">
        <f>P23/Assumptions!$C$28</f>
        <v/>
      </c>
      <c r="Q24" s="31">
        <f>SUM(M24:P24)</f>
        <v/>
      </c>
      <c r="R24" s="30">
        <f>R23/Assumptions!$C$28</f>
        <v/>
      </c>
      <c r="S24" s="30">
        <f>S23/Assumptions!$C$28</f>
        <v/>
      </c>
      <c r="T24" s="30">
        <f>T23/Assumptions!$C$28</f>
        <v/>
      </c>
      <c r="U24" s="30">
        <f>U23/Assumptions!$C$28</f>
        <v/>
      </c>
      <c r="V24" s="31">
        <f>SUM(R24:U24)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2" customWidth="1" min="22" max="22"/>
  </cols>
  <sheetData>
    <row r="1">
      <c r="A1" s="1" t="inlineStr">
        <is>
          <t>Northwind Robotics — Cash Flow</t>
        </is>
      </c>
    </row>
    <row r="2">
      <c r="A2" s="2" t="inlineStr">
        <is>
          <t>USD millions.</t>
        </is>
      </c>
    </row>
    <row r="4">
      <c r="A4" s="3" t="inlineStr">
        <is>
          <t>Line item</t>
        </is>
      </c>
      <c r="B4" s="3" t="inlineStr">
        <is>
          <t>Unit</t>
        </is>
      </c>
      <c r="C4" s="4" t="inlineStr">
        <is>
          <t>1Q24A</t>
        </is>
      </c>
      <c r="D4" s="4" t="inlineStr">
        <is>
          <t>2Q24A</t>
        </is>
      </c>
      <c r="E4" s="4" t="inlineStr">
        <is>
          <t>3Q24A</t>
        </is>
      </c>
      <c r="F4" s="4" t="inlineStr">
        <is>
          <t>4Q24A</t>
        </is>
      </c>
      <c r="G4" s="4" t="inlineStr">
        <is>
          <t>FY24A</t>
        </is>
      </c>
      <c r="H4" s="4" t="inlineStr">
        <is>
          <t>1Q25A</t>
        </is>
      </c>
      <c r="I4" s="4" t="inlineStr">
        <is>
          <t>2Q25A</t>
        </is>
      </c>
      <c r="J4" s="4" t="inlineStr">
        <is>
          <t>3Q25A</t>
        </is>
      </c>
      <c r="K4" s="4" t="inlineStr">
        <is>
          <t>4Q25A</t>
        </is>
      </c>
      <c r="L4" s="4" t="inlineStr">
        <is>
          <t>FY25A</t>
        </is>
      </c>
      <c r="M4" s="4" t="inlineStr">
        <is>
          <t>1Q26E</t>
        </is>
      </c>
      <c r="N4" s="4" t="inlineStr">
        <is>
          <t>2Q26E</t>
        </is>
      </c>
      <c r="O4" s="4" t="inlineStr">
        <is>
          <t>3Q26E</t>
        </is>
      </c>
      <c r="P4" s="4" t="inlineStr">
        <is>
          <t>4Q26E</t>
        </is>
      </c>
      <c r="Q4" s="4" t="inlineStr">
        <is>
          <t>FY26E</t>
        </is>
      </c>
      <c r="R4" s="4" t="inlineStr">
        <is>
          <t>1Q27E</t>
        </is>
      </c>
      <c r="S4" s="4" t="inlineStr">
        <is>
          <t>2Q27E</t>
        </is>
      </c>
      <c r="T4" s="4" t="inlineStr">
        <is>
          <t>3Q27E</t>
        </is>
      </c>
      <c r="U4" s="4" t="inlineStr">
        <is>
          <t>4Q27E</t>
        </is>
      </c>
      <c r="V4" s="4" t="inlineStr">
        <is>
          <t>FY27E</t>
        </is>
      </c>
    </row>
    <row r="6">
      <c r="A6" s="5" t="inlineStr">
        <is>
          <t>Operating</t>
        </is>
      </c>
    </row>
    <row r="7">
      <c r="A7" t="inlineStr">
        <is>
          <t>Net income</t>
        </is>
      </c>
      <c r="B7" s="2" t="inlineStr">
        <is>
          <t>USDm</t>
        </is>
      </c>
      <c r="C7" s="20">
        <f>'Income Statement'!C23</f>
        <v/>
      </c>
      <c r="D7" s="20">
        <f>'Income Statement'!D23</f>
        <v/>
      </c>
      <c r="E7" s="20">
        <f>'Income Statement'!E23</f>
        <v/>
      </c>
      <c r="F7" s="20">
        <f>'Income Statement'!F23</f>
        <v/>
      </c>
      <c r="G7" s="21">
        <f>SUM(C7:F7)</f>
        <v/>
      </c>
      <c r="H7" s="20">
        <f>'Income Statement'!H23</f>
        <v/>
      </c>
      <c r="I7" s="20">
        <f>'Income Statement'!I23</f>
        <v/>
      </c>
      <c r="J7" s="20">
        <f>'Income Statement'!J23</f>
        <v/>
      </c>
      <c r="K7" s="20">
        <f>'Income Statement'!K23</f>
        <v/>
      </c>
      <c r="L7" s="21">
        <f>SUM(H7:K7)</f>
        <v/>
      </c>
      <c r="M7" s="20">
        <f>'Income Statement'!M23</f>
        <v/>
      </c>
      <c r="N7" s="20">
        <f>'Income Statement'!N23</f>
        <v/>
      </c>
      <c r="O7" s="20">
        <f>'Income Statement'!O23</f>
        <v/>
      </c>
      <c r="P7" s="20">
        <f>'Income Statement'!P23</f>
        <v/>
      </c>
      <c r="Q7" s="21">
        <f>SUM(M7:P7)</f>
        <v/>
      </c>
      <c r="R7" s="20">
        <f>'Income Statement'!R23</f>
        <v/>
      </c>
      <c r="S7" s="20">
        <f>'Income Statement'!S23</f>
        <v/>
      </c>
      <c r="T7" s="20">
        <f>'Income Statement'!T23</f>
        <v/>
      </c>
      <c r="U7" s="20">
        <f>'Income Statement'!U23</f>
        <v/>
      </c>
      <c r="V7" s="21">
        <f>SUM(R7:U7)</f>
        <v/>
      </c>
    </row>
    <row r="8">
      <c r="A8" t="inlineStr">
        <is>
          <t>Depreciation</t>
        </is>
      </c>
      <c r="B8" s="2" t="inlineStr">
        <is>
          <t>USDm</t>
        </is>
      </c>
      <c r="C8" s="17" t="n">
        <v>9.5</v>
      </c>
      <c r="D8" s="20">
        <f>'Balance Sheet'!C9*'Assumptions'!D21</f>
        <v/>
      </c>
      <c r="E8" s="20">
        <f>'Balance Sheet'!D9*'Assumptions'!E21</f>
        <v/>
      </c>
      <c r="F8" s="20">
        <f>'Balance Sheet'!E9*'Assumptions'!F21</f>
        <v/>
      </c>
      <c r="G8" s="21">
        <f>SUM(C8:F8)</f>
        <v/>
      </c>
      <c r="H8" s="20">
        <f>'Balance Sheet'!F9*'Assumptions'!H21</f>
        <v/>
      </c>
      <c r="I8" s="20">
        <f>'Balance Sheet'!H9*'Assumptions'!I21</f>
        <v/>
      </c>
      <c r="J8" s="20">
        <f>'Balance Sheet'!I9*'Assumptions'!J21</f>
        <v/>
      </c>
      <c r="K8" s="20">
        <f>'Balance Sheet'!J9*'Assumptions'!K21</f>
        <v/>
      </c>
      <c r="L8" s="21">
        <f>SUM(H8:K8)</f>
        <v/>
      </c>
      <c r="M8" s="20">
        <f>'Balance Sheet'!K9*'Assumptions'!M21</f>
        <v/>
      </c>
      <c r="N8" s="20">
        <f>'Balance Sheet'!M9*'Assumptions'!N21</f>
        <v/>
      </c>
      <c r="O8" s="20">
        <f>'Balance Sheet'!N9*'Assumptions'!O21</f>
        <v/>
      </c>
      <c r="P8" s="20">
        <f>'Balance Sheet'!O9*'Assumptions'!P21</f>
        <v/>
      </c>
      <c r="Q8" s="21">
        <f>SUM(M8:P8)</f>
        <v/>
      </c>
      <c r="R8" s="20">
        <f>'Balance Sheet'!P9*'Assumptions'!R21</f>
        <v/>
      </c>
      <c r="S8" s="20">
        <f>'Balance Sheet'!R9*'Assumptions'!S21</f>
        <v/>
      </c>
      <c r="T8" s="20">
        <f>'Balance Sheet'!S9*'Assumptions'!T21</f>
        <v/>
      </c>
      <c r="U8" s="20">
        <f>'Balance Sheet'!T9*'Assumptions'!U21</f>
        <v/>
      </c>
      <c r="V8" s="21">
        <f>SUM(R8:U8)</f>
        <v/>
      </c>
    </row>
    <row r="9">
      <c r="A9" t="inlineStr">
        <is>
          <t>Change in working capital</t>
        </is>
      </c>
      <c r="B9" s="2" t="inlineStr">
        <is>
          <t>USDm</t>
        </is>
      </c>
      <c r="C9" s="17" t="n">
        <v>-4</v>
      </c>
      <c r="D9" s="20">
        <f>-('Balance Sheet'!D8-'Balance Sheet'!C8)+('Balance Sheet'!D13-'Balance Sheet'!C13)</f>
        <v/>
      </c>
      <c r="E9" s="20">
        <f>-('Balance Sheet'!E8-'Balance Sheet'!D8)+('Balance Sheet'!E13-'Balance Sheet'!D13)</f>
        <v/>
      </c>
      <c r="F9" s="20">
        <f>-('Balance Sheet'!F8-'Balance Sheet'!E8)+('Balance Sheet'!F13-'Balance Sheet'!E13)</f>
        <v/>
      </c>
      <c r="G9" s="21">
        <f>SUM(C9:F9)</f>
        <v/>
      </c>
      <c r="H9" s="20">
        <f>-('Balance Sheet'!H8-'Balance Sheet'!F8)+('Balance Sheet'!H13-'Balance Sheet'!F13)</f>
        <v/>
      </c>
      <c r="I9" s="20">
        <f>-('Balance Sheet'!I8-'Balance Sheet'!H8)+('Balance Sheet'!I13-'Balance Sheet'!H13)</f>
        <v/>
      </c>
      <c r="J9" s="20">
        <f>-('Balance Sheet'!J8-'Balance Sheet'!I8)+('Balance Sheet'!J13-'Balance Sheet'!I13)</f>
        <v/>
      </c>
      <c r="K9" s="20">
        <f>-('Balance Sheet'!K8-'Balance Sheet'!J8)+('Balance Sheet'!K13-'Balance Sheet'!J13)</f>
        <v/>
      </c>
      <c r="L9" s="21">
        <f>SUM(H9:K9)</f>
        <v/>
      </c>
      <c r="M9" s="20">
        <f>-('Balance Sheet'!M8-'Balance Sheet'!K8)+('Balance Sheet'!M13-'Balance Sheet'!K13)</f>
        <v/>
      </c>
      <c r="N9" s="20">
        <f>-('Balance Sheet'!N8-'Balance Sheet'!M8)+('Balance Sheet'!N13-'Balance Sheet'!M13)</f>
        <v/>
      </c>
      <c r="O9" s="20">
        <f>-('Balance Sheet'!O8-'Balance Sheet'!N8)+('Balance Sheet'!O13-'Balance Sheet'!N13)</f>
        <v/>
      </c>
      <c r="P9" s="20">
        <f>-('Balance Sheet'!P8-'Balance Sheet'!O8)+('Balance Sheet'!P13-'Balance Sheet'!O13)</f>
        <v/>
      </c>
      <c r="Q9" s="21">
        <f>SUM(M9:P9)</f>
        <v/>
      </c>
      <c r="R9" s="20">
        <f>-('Balance Sheet'!R8-'Balance Sheet'!P8)+('Balance Sheet'!R13-'Balance Sheet'!P13)</f>
        <v/>
      </c>
      <c r="S9" s="20">
        <f>-('Balance Sheet'!S8-'Balance Sheet'!R8)+('Balance Sheet'!S13-'Balance Sheet'!R13)</f>
        <v/>
      </c>
      <c r="T9" s="20">
        <f>-('Balance Sheet'!T8-'Balance Sheet'!S8)+('Balance Sheet'!T13-'Balance Sheet'!S13)</f>
        <v/>
      </c>
      <c r="U9" s="20">
        <f>-('Balance Sheet'!U8-'Balance Sheet'!T8)+('Balance Sheet'!U13-'Balance Sheet'!T13)</f>
        <v/>
      </c>
      <c r="V9" s="21">
        <f>SUM(R9:U9)</f>
        <v/>
      </c>
    </row>
    <row r="10">
      <c r="A10" s="5" t="inlineStr">
        <is>
          <t>Cash from operations</t>
        </is>
      </c>
      <c r="B10" s="2" t="inlineStr">
        <is>
          <t>USDm</t>
        </is>
      </c>
      <c r="C10" s="18">
        <f>SUM(C7:C9)</f>
        <v/>
      </c>
      <c r="D10" s="18">
        <f>SUM(D7:D9)</f>
        <v/>
      </c>
      <c r="E10" s="18">
        <f>SUM(E7:E9)</f>
        <v/>
      </c>
      <c r="F10" s="18">
        <f>SUM(F7:F9)</f>
        <v/>
      </c>
      <c r="G10" s="19">
        <f>SUM(C10:F10)</f>
        <v/>
      </c>
      <c r="H10" s="18">
        <f>SUM(H7:H9)</f>
        <v/>
      </c>
      <c r="I10" s="18">
        <f>SUM(I7:I9)</f>
        <v/>
      </c>
      <c r="J10" s="18">
        <f>SUM(J7:J9)</f>
        <v/>
      </c>
      <c r="K10" s="18">
        <f>SUM(K7:K9)</f>
        <v/>
      </c>
      <c r="L10" s="19">
        <f>SUM(H10:K10)</f>
        <v/>
      </c>
      <c r="M10" s="18">
        <f>SUM(M7:M9)</f>
        <v/>
      </c>
      <c r="N10" s="18">
        <f>SUM(N7:N9)</f>
        <v/>
      </c>
      <c r="O10" s="18">
        <f>SUM(O7:O9)</f>
        <v/>
      </c>
      <c r="P10" s="18">
        <f>SUM(P7:P9)</f>
        <v/>
      </c>
      <c r="Q10" s="19">
        <f>SUM(M10:P10)</f>
        <v/>
      </c>
      <c r="R10" s="18">
        <f>SUM(R7:R9)</f>
        <v/>
      </c>
      <c r="S10" s="18">
        <f>SUM(S7:S9)</f>
        <v/>
      </c>
      <c r="T10" s="18">
        <f>SUM(T7:T9)</f>
        <v/>
      </c>
      <c r="U10" s="18">
        <f>SUM(U7:U9)</f>
        <v/>
      </c>
      <c r="V10" s="19">
        <f>SUM(R10:U10)</f>
        <v/>
      </c>
    </row>
    <row r="12">
      <c r="A12" s="5" t="inlineStr">
        <is>
          <t>Investing</t>
        </is>
      </c>
    </row>
    <row r="13">
      <c r="A13" t="inlineStr">
        <is>
          <t>Capital expenditure</t>
        </is>
      </c>
      <c r="B13" s="2" t="inlineStr">
        <is>
          <t>USDm</t>
        </is>
      </c>
      <c r="C13" s="20">
        <f>-'Income Statement'!C7*'Assumptions'!C20</f>
        <v/>
      </c>
      <c r="D13" s="20">
        <f>-'Income Statement'!D7*'Assumptions'!D20</f>
        <v/>
      </c>
      <c r="E13" s="20">
        <f>-'Income Statement'!E7*'Assumptions'!E20</f>
        <v/>
      </c>
      <c r="F13" s="20">
        <f>-'Income Statement'!F7*'Assumptions'!F20</f>
        <v/>
      </c>
      <c r="G13" s="21">
        <f>SUM(C13:F13)</f>
        <v/>
      </c>
      <c r="H13" s="20">
        <f>-'Income Statement'!H7*'Assumptions'!H20</f>
        <v/>
      </c>
      <c r="I13" s="20">
        <f>-'Income Statement'!I7*'Assumptions'!I20</f>
        <v/>
      </c>
      <c r="J13" s="20">
        <f>-'Income Statement'!J7*'Assumptions'!J20</f>
        <v/>
      </c>
      <c r="K13" s="20">
        <f>-'Income Statement'!K7*'Assumptions'!K20</f>
        <v/>
      </c>
      <c r="L13" s="21">
        <f>SUM(H13:K13)</f>
        <v/>
      </c>
      <c r="M13" s="20">
        <f>-'Income Statement'!M7*'Assumptions'!M20</f>
        <v/>
      </c>
      <c r="N13" s="20">
        <f>-'Income Statement'!N7*'Assumptions'!N20</f>
        <v/>
      </c>
      <c r="O13" s="20">
        <f>-'Income Statement'!O7*'Assumptions'!O20</f>
        <v/>
      </c>
      <c r="P13" s="20">
        <f>-'Income Statement'!P7*'Assumptions'!P20</f>
        <v/>
      </c>
      <c r="Q13" s="21">
        <f>SUM(M13:P13)</f>
        <v/>
      </c>
      <c r="R13" s="20">
        <f>-'Income Statement'!R7*'Assumptions'!R20</f>
        <v/>
      </c>
      <c r="S13" s="20">
        <f>-'Income Statement'!S7*'Assumptions'!S20</f>
        <v/>
      </c>
      <c r="T13" s="20">
        <f>-'Income Statement'!T7*'Assumptions'!T20</f>
        <v/>
      </c>
      <c r="U13" s="20">
        <f>-'Income Statement'!U7*'Assumptions'!U20</f>
        <v/>
      </c>
      <c r="V13" s="21">
        <f>SUM(R13:U13)</f>
        <v/>
      </c>
    </row>
    <row r="14">
      <c r="A14" s="5" t="inlineStr">
        <is>
          <t>Free cash flow</t>
        </is>
      </c>
      <c r="B14" s="2" t="inlineStr">
        <is>
          <t>USDm</t>
        </is>
      </c>
      <c r="C14" s="18">
        <f>C10+C13</f>
        <v/>
      </c>
      <c r="D14" s="18">
        <f>D10+D13</f>
        <v/>
      </c>
      <c r="E14" s="18">
        <f>E10+E13</f>
        <v/>
      </c>
      <c r="F14" s="18">
        <f>F10+F13</f>
        <v/>
      </c>
      <c r="G14" s="19">
        <f>SUM(C14:F14)</f>
        <v/>
      </c>
      <c r="H14" s="18">
        <f>H10+H13</f>
        <v/>
      </c>
      <c r="I14" s="18">
        <f>I10+I13</f>
        <v/>
      </c>
      <c r="J14" s="18">
        <f>J10+J13</f>
        <v/>
      </c>
      <c r="K14" s="18">
        <f>K10+K13</f>
        <v/>
      </c>
      <c r="L14" s="19">
        <f>SUM(H14:K14)</f>
        <v/>
      </c>
      <c r="M14" s="18">
        <f>M10+M13</f>
        <v/>
      </c>
      <c r="N14" s="18">
        <f>N10+N13</f>
        <v/>
      </c>
      <c r="O14" s="18">
        <f>O10+O13</f>
        <v/>
      </c>
      <c r="P14" s="18">
        <f>P10+P13</f>
        <v/>
      </c>
      <c r="Q14" s="19">
        <f>SUM(M14:P14)</f>
        <v/>
      </c>
      <c r="R14" s="18">
        <f>R10+R13</f>
        <v/>
      </c>
      <c r="S14" s="18">
        <f>S10+S13</f>
        <v/>
      </c>
      <c r="T14" s="18">
        <f>T10+T13</f>
        <v/>
      </c>
      <c r="U14" s="18">
        <f>U10+U13</f>
        <v/>
      </c>
      <c r="V14" s="19">
        <f>SUM(R14:U14)</f>
        <v/>
      </c>
    </row>
    <row r="15">
      <c r="A15" s="27" t="inlineStr">
        <is>
          <t>Free cash flow margin</t>
        </is>
      </c>
      <c r="B15" s="2" t="inlineStr">
        <is>
          <t>%</t>
        </is>
      </c>
      <c r="C15" s="32">
        <f>C14/'Income Statement'!C7</f>
        <v/>
      </c>
      <c r="D15" s="32">
        <f>D14/'Income Statement'!D7</f>
        <v/>
      </c>
      <c r="E15" s="32">
        <f>E14/'Income Statement'!E7</f>
        <v/>
      </c>
      <c r="F15" s="32">
        <f>F14/'Income Statement'!F7</f>
        <v/>
      </c>
      <c r="G15" s="33">
        <f>G14/'Income Statement'!G7</f>
        <v/>
      </c>
      <c r="H15" s="32">
        <f>H14/'Income Statement'!H7</f>
        <v/>
      </c>
      <c r="I15" s="32">
        <f>I14/'Income Statement'!I7</f>
        <v/>
      </c>
      <c r="J15" s="32">
        <f>J14/'Income Statement'!J7</f>
        <v/>
      </c>
      <c r="K15" s="32">
        <f>K14/'Income Statement'!K7</f>
        <v/>
      </c>
      <c r="L15" s="33">
        <f>L14/'Income Statement'!L7</f>
        <v/>
      </c>
      <c r="M15" s="32">
        <f>M14/'Income Statement'!M7</f>
        <v/>
      </c>
      <c r="N15" s="32">
        <f>N14/'Income Statement'!N7</f>
        <v/>
      </c>
      <c r="O15" s="32">
        <f>O14/'Income Statement'!O7</f>
        <v/>
      </c>
      <c r="P15" s="32">
        <f>P14/'Income Statement'!P7</f>
        <v/>
      </c>
      <c r="Q15" s="33">
        <f>Q14/'Income Statement'!Q7</f>
        <v/>
      </c>
      <c r="R15" s="32">
        <f>R14/'Income Statement'!R7</f>
        <v/>
      </c>
      <c r="S15" s="32">
        <f>S14/'Income Statement'!S7</f>
        <v/>
      </c>
      <c r="T15" s="32">
        <f>T14/'Income Statement'!T7</f>
        <v/>
      </c>
      <c r="U15" s="32">
        <f>U14/'Income Statement'!U7</f>
        <v/>
      </c>
      <c r="V15" s="33">
        <f>V14/'Income Statement'!V7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2" customWidth="1" min="22" max="22"/>
  </cols>
  <sheetData>
    <row r="1">
      <c r="A1" s="1" t="inlineStr">
        <is>
          <t>Northwind Robotics — Balance Sheet</t>
        </is>
      </c>
    </row>
    <row r="2">
      <c r="A2" s="2" t="inlineStr">
        <is>
          <t>USD millions, at period end. Annual columns show the year end.</t>
        </is>
      </c>
    </row>
    <row r="4">
      <c r="A4" s="3" t="inlineStr">
        <is>
          <t>Line item</t>
        </is>
      </c>
      <c r="B4" s="3" t="inlineStr">
        <is>
          <t>Unit</t>
        </is>
      </c>
      <c r="C4" s="4" t="inlineStr">
        <is>
          <t>1Q24A</t>
        </is>
      </c>
      <c r="D4" s="4" t="inlineStr">
        <is>
          <t>2Q24A</t>
        </is>
      </c>
      <c r="E4" s="4" t="inlineStr">
        <is>
          <t>3Q24A</t>
        </is>
      </c>
      <c r="F4" s="4" t="inlineStr">
        <is>
          <t>4Q24A</t>
        </is>
      </c>
      <c r="G4" s="4" t="inlineStr">
        <is>
          <t>FY24A</t>
        </is>
      </c>
      <c r="H4" s="4" t="inlineStr">
        <is>
          <t>1Q25A</t>
        </is>
      </c>
      <c r="I4" s="4" t="inlineStr">
        <is>
          <t>2Q25A</t>
        </is>
      </c>
      <c r="J4" s="4" t="inlineStr">
        <is>
          <t>3Q25A</t>
        </is>
      </c>
      <c r="K4" s="4" t="inlineStr">
        <is>
          <t>4Q25A</t>
        </is>
      </c>
      <c r="L4" s="4" t="inlineStr">
        <is>
          <t>FY25A</t>
        </is>
      </c>
      <c r="M4" s="4" t="inlineStr">
        <is>
          <t>1Q26E</t>
        </is>
      </c>
      <c r="N4" s="4" t="inlineStr">
        <is>
          <t>2Q26E</t>
        </is>
      </c>
      <c r="O4" s="4" t="inlineStr">
        <is>
          <t>3Q26E</t>
        </is>
      </c>
      <c r="P4" s="4" t="inlineStr">
        <is>
          <t>4Q26E</t>
        </is>
      </c>
      <c r="Q4" s="4" t="inlineStr">
        <is>
          <t>FY26E</t>
        </is>
      </c>
      <c r="R4" s="4" t="inlineStr">
        <is>
          <t>1Q27E</t>
        </is>
      </c>
      <c r="S4" s="4" t="inlineStr">
        <is>
          <t>2Q27E</t>
        </is>
      </c>
      <c r="T4" s="4" t="inlineStr">
        <is>
          <t>3Q27E</t>
        </is>
      </c>
      <c r="U4" s="4" t="inlineStr">
        <is>
          <t>4Q27E</t>
        </is>
      </c>
      <c r="V4" s="4" t="inlineStr">
        <is>
          <t>FY27E</t>
        </is>
      </c>
    </row>
    <row r="6">
      <c r="A6" s="5" t="inlineStr">
        <is>
          <t>Assets</t>
        </is>
      </c>
    </row>
    <row r="7">
      <c r="A7" t="inlineStr">
        <is>
          <t>Cash</t>
        </is>
      </c>
      <c r="B7" s="2" t="inlineStr">
        <is>
          <t>USDm</t>
        </is>
      </c>
      <c r="C7" s="17" t="n">
        <v>212</v>
      </c>
      <c r="D7" s="20">
        <f>C7+'Cash Flow'!D14</f>
        <v/>
      </c>
      <c r="E7" s="20">
        <f>D7+'Cash Flow'!E14</f>
        <v/>
      </c>
      <c r="F7" s="20">
        <f>E7+'Cash Flow'!F14</f>
        <v/>
      </c>
      <c r="G7" s="21">
        <f>F7</f>
        <v/>
      </c>
      <c r="H7" s="20">
        <f>F7+'Cash Flow'!H14</f>
        <v/>
      </c>
      <c r="I7" s="20">
        <f>H7+'Cash Flow'!I14</f>
        <v/>
      </c>
      <c r="J7" s="20">
        <f>I7+'Cash Flow'!J14</f>
        <v/>
      </c>
      <c r="K7" s="20">
        <f>J7+'Cash Flow'!K14</f>
        <v/>
      </c>
      <c r="L7" s="21">
        <f>K7</f>
        <v/>
      </c>
      <c r="M7" s="20">
        <f>K7+'Cash Flow'!M14</f>
        <v/>
      </c>
      <c r="N7" s="20">
        <f>M7+'Cash Flow'!N14</f>
        <v/>
      </c>
      <c r="O7" s="20">
        <f>N7+'Cash Flow'!O14</f>
        <v/>
      </c>
      <c r="P7" s="20">
        <f>O7+'Cash Flow'!P14</f>
        <v/>
      </c>
      <c r="Q7" s="21">
        <f>P7</f>
        <v/>
      </c>
      <c r="R7" s="20">
        <f>P7+'Cash Flow'!R14</f>
        <v/>
      </c>
      <c r="S7" s="20">
        <f>R7+'Cash Flow'!S14</f>
        <v/>
      </c>
      <c r="T7" s="20">
        <f>S7+'Cash Flow'!T14</f>
        <v/>
      </c>
      <c r="U7" s="20">
        <f>T7+'Cash Flow'!U14</f>
        <v/>
      </c>
      <c r="V7" s="21">
        <f>U7</f>
        <v/>
      </c>
    </row>
    <row r="8">
      <c r="A8" t="inlineStr">
        <is>
          <t>Receivables</t>
        </is>
      </c>
      <c r="B8" s="2" t="inlineStr">
        <is>
          <t>USDm</t>
        </is>
      </c>
      <c r="C8" s="20">
        <f>'Income Statement'!C7*'Assumptions'!C22/91</f>
        <v/>
      </c>
      <c r="D8" s="20">
        <f>'Income Statement'!D7*'Assumptions'!D22/91</f>
        <v/>
      </c>
      <c r="E8" s="20">
        <f>'Income Statement'!E7*'Assumptions'!E22/91</f>
        <v/>
      </c>
      <c r="F8" s="20">
        <f>'Income Statement'!F7*'Assumptions'!F22/91</f>
        <v/>
      </c>
      <c r="G8" s="21">
        <f>F8</f>
        <v/>
      </c>
      <c r="H8" s="20">
        <f>'Income Statement'!H7*'Assumptions'!H22/91</f>
        <v/>
      </c>
      <c r="I8" s="20">
        <f>'Income Statement'!I7*'Assumptions'!I22/91</f>
        <v/>
      </c>
      <c r="J8" s="20">
        <f>'Income Statement'!J7*'Assumptions'!J22/91</f>
        <v/>
      </c>
      <c r="K8" s="20">
        <f>'Income Statement'!K7*'Assumptions'!K22/91</f>
        <v/>
      </c>
      <c r="L8" s="21">
        <f>K8</f>
        <v/>
      </c>
      <c r="M8" s="20">
        <f>'Income Statement'!M7*'Assumptions'!M22/91</f>
        <v/>
      </c>
      <c r="N8" s="20">
        <f>'Income Statement'!N7*'Assumptions'!N22/91</f>
        <v/>
      </c>
      <c r="O8" s="20">
        <f>'Income Statement'!O7*'Assumptions'!O22/91</f>
        <v/>
      </c>
      <c r="P8" s="20">
        <f>'Income Statement'!P7*'Assumptions'!P22/91</f>
        <v/>
      </c>
      <c r="Q8" s="21">
        <f>P8</f>
        <v/>
      </c>
      <c r="R8" s="20">
        <f>'Income Statement'!R7*'Assumptions'!R22/91</f>
        <v/>
      </c>
      <c r="S8" s="20">
        <f>'Income Statement'!S7*'Assumptions'!S22/91</f>
        <v/>
      </c>
      <c r="T8" s="20">
        <f>'Income Statement'!T7*'Assumptions'!T22/91</f>
        <v/>
      </c>
      <c r="U8" s="20">
        <f>'Income Statement'!U7*'Assumptions'!U22/91</f>
        <v/>
      </c>
      <c r="V8" s="21">
        <f>U8</f>
        <v/>
      </c>
    </row>
    <row r="9">
      <c r="A9" t="inlineStr">
        <is>
          <t>Property, plant &amp; equipment</t>
        </is>
      </c>
      <c r="B9" s="2" t="inlineStr">
        <is>
          <t>USDm</t>
        </is>
      </c>
      <c r="C9" s="17" t="n">
        <v>211</v>
      </c>
      <c r="D9" s="20">
        <f>C9-'Cash Flow'!D13-'Cash Flow'!D8</f>
        <v/>
      </c>
      <c r="E9" s="20">
        <f>D9-'Cash Flow'!E13-'Cash Flow'!E8</f>
        <v/>
      </c>
      <c r="F9" s="20">
        <f>E9-'Cash Flow'!F13-'Cash Flow'!F8</f>
        <v/>
      </c>
      <c r="G9" s="21">
        <f>F9</f>
        <v/>
      </c>
      <c r="H9" s="20">
        <f>F9-'Cash Flow'!H13-'Cash Flow'!H8</f>
        <v/>
      </c>
      <c r="I9" s="20">
        <f>H9-'Cash Flow'!I13-'Cash Flow'!I8</f>
        <v/>
      </c>
      <c r="J9" s="20">
        <f>I9-'Cash Flow'!J13-'Cash Flow'!J8</f>
        <v/>
      </c>
      <c r="K9" s="20">
        <f>J9-'Cash Flow'!K13-'Cash Flow'!K8</f>
        <v/>
      </c>
      <c r="L9" s="21">
        <f>K9</f>
        <v/>
      </c>
      <c r="M9" s="20">
        <f>K9-'Cash Flow'!M13-'Cash Flow'!M8</f>
        <v/>
      </c>
      <c r="N9" s="20">
        <f>M9-'Cash Flow'!N13-'Cash Flow'!N8</f>
        <v/>
      </c>
      <c r="O9" s="20">
        <f>N9-'Cash Flow'!O13-'Cash Flow'!O8</f>
        <v/>
      </c>
      <c r="P9" s="20">
        <f>O9-'Cash Flow'!P13-'Cash Flow'!P8</f>
        <v/>
      </c>
      <c r="Q9" s="21">
        <f>P9</f>
        <v/>
      </c>
      <c r="R9" s="20">
        <f>P9-'Cash Flow'!R13-'Cash Flow'!R8</f>
        <v/>
      </c>
      <c r="S9" s="20">
        <f>R9-'Cash Flow'!S13-'Cash Flow'!S8</f>
        <v/>
      </c>
      <c r="T9" s="20">
        <f>S9-'Cash Flow'!T13-'Cash Flow'!T8</f>
        <v/>
      </c>
      <c r="U9" s="20">
        <f>T9-'Cash Flow'!U13-'Cash Flow'!U8</f>
        <v/>
      </c>
      <c r="V9" s="21">
        <f>U9</f>
        <v/>
      </c>
    </row>
    <row r="10">
      <c r="A10" s="5" t="inlineStr">
        <is>
          <t>Total assets</t>
        </is>
      </c>
      <c r="B10" s="2" t="inlineStr">
        <is>
          <t>USDm</t>
        </is>
      </c>
      <c r="C10" s="18">
        <f>SUM(C7:C9)</f>
        <v/>
      </c>
      <c r="D10" s="18">
        <f>SUM(D7:D9)</f>
        <v/>
      </c>
      <c r="E10" s="18">
        <f>SUM(E7:E9)</f>
        <v/>
      </c>
      <c r="F10" s="18">
        <f>SUM(F7:F9)</f>
        <v/>
      </c>
      <c r="G10" s="19">
        <f>F10</f>
        <v/>
      </c>
      <c r="H10" s="18">
        <f>SUM(H7:H9)</f>
        <v/>
      </c>
      <c r="I10" s="18">
        <f>SUM(I7:I9)</f>
        <v/>
      </c>
      <c r="J10" s="18">
        <f>SUM(J7:J9)</f>
        <v/>
      </c>
      <c r="K10" s="18">
        <f>SUM(K7:K9)</f>
        <v/>
      </c>
      <c r="L10" s="19">
        <f>K10</f>
        <v/>
      </c>
      <c r="M10" s="18">
        <f>SUM(M7:M9)</f>
        <v/>
      </c>
      <c r="N10" s="18">
        <f>SUM(N7:N9)</f>
        <v/>
      </c>
      <c r="O10" s="18">
        <f>SUM(O7:O9)</f>
        <v/>
      </c>
      <c r="P10" s="18">
        <f>SUM(P7:P9)</f>
        <v/>
      </c>
      <c r="Q10" s="19">
        <f>P10</f>
        <v/>
      </c>
      <c r="R10" s="18">
        <f>SUM(R7:R9)</f>
        <v/>
      </c>
      <c r="S10" s="18">
        <f>SUM(S7:S9)</f>
        <v/>
      </c>
      <c r="T10" s="18">
        <f>SUM(T7:T9)</f>
        <v/>
      </c>
      <c r="U10" s="18">
        <f>SUM(U7:U9)</f>
        <v/>
      </c>
      <c r="V10" s="19">
        <f>U10</f>
        <v/>
      </c>
    </row>
    <row r="12">
      <c r="A12" s="5" t="inlineStr">
        <is>
          <t>Liabilities and equity</t>
        </is>
      </c>
    </row>
    <row r="13">
      <c r="A13" t="inlineStr">
        <is>
          <t>Payables</t>
        </is>
      </c>
      <c r="B13" s="2" t="inlineStr">
        <is>
          <t>USDm</t>
        </is>
      </c>
      <c r="C13" s="20">
        <f>-'Income Statement'!C14*'Assumptions'!C23/91</f>
        <v/>
      </c>
      <c r="D13" s="20">
        <f>-'Income Statement'!D14*'Assumptions'!D23/91</f>
        <v/>
      </c>
      <c r="E13" s="20">
        <f>-'Income Statement'!E14*'Assumptions'!E23/91</f>
        <v/>
      </c>
      <c r="F13" s="20">
        <f>-'Income Statement'!F14*'Assumptions'!F23/91</f>
        <v/>
      </c>
      <c r="G13" s="21">
        <f>F13</f>
        <v/>
      </c>
      <c r="H13" s="20">
        <f>-'Income Statement'!H14*'Assumptions'!H23/91</f>
        <v/>
      </c>
      <c r="I13" s="20">
        <f>-'Income Statement'!I14*'Assumptions'!I23/91</f>
        <v/>
      </c>
      <c r="J13" s="20">
        <f>-'Income Statement'!J14*'Assumptions'!J23/91</f>
        <v/>
      </c>
      <c r="K13" s="20">
        <f>-'Income Statement'!K14*'Assumptions'!K23/91</f>
        <v/>
      </c>
      <c r="L13" s="21">
        <f>K13</f>
        <v/>
      </c>
      <c r="M13" s="20">
        <f>-'Income Statement'!M14*'Assumptions'!M23/91</f>
        <v/>
      </c>
      <c r="N13" s="20">
        <f>-'Income Statement'!N14*'Assumptions'!N23/91</f>
        <v/>
      </c>
      <c r="O13" s="20">
        <f>-'Income Statement'!O14*'Assumptions'!O23/91</f>
        <v/>
      </c>
      <c r="P13" s="20">
        <f>-'Income Statement'!P14*'Assumptions'!P23/91</f>
        <v/>
      </c>
      <c r="Q13" s="21">
        <f>P13</f>
        <v/>
      </c>
      <c r="R13" s="20">
        <f>-'Income Statement'!R14*'Assumptions'!R23/91</f>
        <v/>
      </c>
      <c r="S13" s="20">
        <f>-'Income Statement'!S14*'Assumptions'!S23/91</f>
        <v/>
      </c>
      <c r="T13" s="20">
        <f>-'Income Statement'!T14*'Assumptions'!T23/91</f>
        <v/>
      </c>
      <c r="U13" s="20">
        <f>-'Income Statement'!U14*'Assumptions'!U23/91</f>
        <v/>
      </c>
      <c r="V13" s="21">
        <f>U13</f>
        <v/>
      </c>
    </row>
    <row r="14">
      <c r="A14" t="inlineStr">
        <is>
          <t>Equity</t>
        </is>
      </c>
      <c r="B14" s="2" t="inlineStr">
        <is>
          <t>USDm</t>
        </is>
      </c>
      <c r="C14" s="34">
        <f>C10-C13</f>
        <v/>
      </c>
      <c r="D14" s="34">
        <f>D10-D13</f>
        <v/>
      </c>
      <c r="E14" s="34">
        <f>E10-E13</f>
        <v/>
      </c>
      <c r="F14" s="34">
        <f>F10-F13</f>
        <v/>
      </c>
      <c r="G14" s="21">
        <f>F14</f>
        <v/>
      </c>
      <c r="H14" s="34">
        <f>H10-H13</f>
        <v/>
      </c>
      <c r="I14" s="34">
        <f>I10-I13</f>
        <v/>
      </c>
      <c r="J14" s="34">
        <f>J10-J13</f>
        <v/>
      </c>
      <c r="K14" s="34">
        <f>K10-K13</f>
        <v/>
      </c>
      <c r="L14" s="21">
        <f>K14</f>
        <v/>
      </c>
      <c r="M14" s="34">
        <f>M10-M13</f>
        <v/>
      </c>
      <c r="N14" s="34">
        <f>N10-N13</f>
        <v/>
      </c>
      <c r="O14" s="34">
        <f>O10-O13</f>
        <v/>
      </c>
      <c r="P14" s="34">
        <f>P10-P13</f>
        <v/>
      </c>
      <c r="Q14" s="21">
        <f>P14</f>
        <v/>
      </c>
      <c r="R14" s="34">
        <f>R10-R13</f>
        <v/>
      </c>
      <c r="S14" s="34">
        <f>S10-S13</f>
        <v/>
      </c>
      <c r="T14" s="34">
        <f>T10-T13</f>
        <v/>
      </c>
      <c r="U14" s="34">
        <f>U10-U13</f>
        <v/>
      </c>
      <c r="V14" s="21">
        <f>U14</f>
        <v/>
      </c>
    </row>
    <row r="15">
      <c r="A15" s="5" t="inlineStr">
        <is>
          <t>Total liabilities and equity</t>
        </is>
      </c>
      <c r="B15" s="2" t="inlineStr">
        <is>
          <t>USDm</t>
        </is>
      </c>
      <c r="C15" s="18">
        <f>C13+C14</f>
        <v/>
      </c>
      <c r="D15" s="18">
        <f>D13+D14</f>
        <v/>
      </c>
      <c r="E15" s="18">
        <f>E13+E14</f>
        <v/>
      </c>
      <c r="F15" s="18">
        <f>F13+F14</f>
        <v/>
      </c>
      <c r="G15" s="19">
        <f>F15</f>
        <v/>
      </c>
      <c r="H15" s="18">
        <f>H13+H14</f>
        <v/>
      </c>
      <c r="I15" s="18">
        <f>I13+I14</f>
        <v/>
      </c>
      <c r="J15" s="18">
        <f>J13+J14</f>
        <v/>
      </c>
      <c r="K15" s="18">
        <f>K13+K14</f>
        <v/>
      </c>
      <c r="L15" s="19">
        <f>K15</f>
        <v/>
      </c>
      <c r="M15" s="18">
        <f>M13+M14</f>
        <v/>
      </c>
      <c r="N15" s="18">
        <f>N13+N14</f>
        <v/>
      </c>
      <c r="O15" s="18">
        <f>O13+O14</f>
        <v/>
      </c>
      <c r="P15" s="18">
        <f>P13+P14</f>
        <v/>
      </c>
      <c r="Q15" s="19">
        <f>P15</f>
        <v/>
      </c>
      <c r="R15" s="18">
        <f>R13+R14</f>
        <v/>
      </c>
      <c r="S15" s="18">
        <f>S13+S14</f>
        <v/>
      </c>
      <c r="T15" s="18">
        <f>T13+T14</f>
        <v/>
      </c>
      <c r="U15" s="18">
        <f>U13+U14</f>
        <v/>
      </c>
      <c r="V15" s="19">
        <f>U15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zoomScale="100"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Northwind Robotics — Valuation</t>
        </is>
      </c>
    </row>
    <row r="2">
      <c r="A2" s="2" t="inlineStr">
        <is>
          <t>Discounted cash flow on the forecast years, terminal value on FY27.</t>
        </is>
      </c>
    </row>
    <row r="3">
      <c r="A3" t="inlineStr">
        <is>
          <t>Free cash flow FY26E</t>
        </is>
      </c>
      <c r="B3" s="20">
        <f>'Cash Flow'!Q14</f>
        <v/>
      </c>
    </row>
    <row r="4">
      <c r="A4" t="inlineStr">
        <is>
          <t>Free cash flow FY27E</t>
        </is>
      </c>
      <c r="B4" s="20">
        <f>'Cash Flow'!V14</f>
        <v/>
      </c>
    </row>
    <row r="5">
      <c r="A5" t="inlineStr">
        <is>
          <t>Cost of capital</t>
        </is>
      </c>
      <c r="B5" s="35">
        <f>Assumptions!$C$26</f>
        <v/>
      </c>
    </row>
    <row r="6">
      <c r="A6" t="inlineStr">
        <is>
          <t>Terminal growth</t>
        </is>
      </c>
      <c r="B6" s="35">
        <f>Assumptions!$C$27</f>
        <v/>
      </c>
    </row>
    <row r="7">
      <c r="A7" t="inlineStr">
        <is>
          <t>Terminal value</t>
        </is>
      </c>
      <c r="B7" s="34">
        <f>B4*(1+B6)/(B5-B6)</f>
        <v/>
      </c>
    </row>
    <row r="8">
      <c r="A8" t="inlineStr">
        <is>
          <t>Enterprise value</t>
        </is>
      </c>
      <c r="B8" s="34">
        <f>B3/(1+B5)+(B4+B7)/(1+B5)^2</f>
        <v/>
      </c>
    </row>
    <row r="9">
      <c r="A9" t="inlineStr">
        <is>
          <t>Net cash</t>
        </is>
      </c>
      <c r="B9" s="20">
        <f>'Balance Sheet'!L7</f>
        <v/>
      </c>
    </row>
    <row r="10">
      <c r="A10" s="5" t="inlineStr">
        <is>
          <t>Equity value</t>
        </is>
      </c>
      <c r="B10" s="36">
        <f>B8+B9</f>
        <v/>
      </c>
    </row>
    <row r="11">
      <c r="A11" t="inlineStr">
        <is>
          <t>Diluted shares</t>
        </is>
      </c>
      <c r="B11" s="20">
        <f>Assumptions!$C$28</f>
        <v/>
      </c>
    </row>
    <row r="12">
      <c r="A12" s="5" t="inlineStr">
        <is>
          <t>Value per share (USD)</t>
        </is>
      </c>
      <c r="B12" s="37">
        <f>B10/B11</f>
        <v/>
      </c>
    </row>
    <row r="13">
      <c r="A13" t="inlineStr">
        <is>
          <t>EV / FY26E operating income</t>
        </is>
      </c>
      <c r="B13" s="38">
        <f>B8/'Income Statement'!Q20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2" customWidth="1" min="22" max="22"/>
  </cols>
  <sheetData>
    <row r="1">
      <c r="A1" s="1" t="inlineStr">
        <is>
          <t>Northwind Robotics — Checks</t>
        </is>
      </c>
    </row>
    <row r="2">
      <c r="A2" s="2" t="inlineStr">
        <is>
          <t>Every check should read zero.</t>
        </is>
      </c>
    </row>
    <row r="4">
      <c r="A4" s="3" t="inlineStr">
        <is>
          <t>Line item</t>
        </is>
      </c>
      <c r="B4" s="3" t="inlineStr">
        <is>
          <t>Unit</t>
        </is>
      </c>
      <c r="C4" s="4" t="inlineStr">
        <is>
          <t>1Q24A</t>
        </is>
      </c>
      <c r="D4" s="4" t="inlineStr">
        <is>
          <t>2Q24A</t>
        </is>
      </c>
      <c r="E4" s="4" t="inlineStr">
        <is>
          <t>3Q24A</t>
        </is>
      </c>
      <c r="F4" s="4" t="inlineStr">
        <is>
          <t>4Q24A</t>
        </is>
      </c>
      <c r="G4" s="4" t="inlineStr">
        <is>
          <t>FY24A</t>
        </is>
      </c>
      <c r="H4" s="4" t="inlineStr">
        <is>
          <t>1Q25A</t>
        </is>
      </c>
      <c r="I4" s="4" t="inlineStr">
        <is>
          <t>2Q25A</t>
        </is>
      </c>
      <c r="J4" s="4" t="inlineStr">
        <is>
          <t>3Q25A</t>
        </is>
      </c>
      <c r="K4" s="4" t="inlineStr">
        <is>
          <t>4Q25A</t>
        </is>
      </c>
      <c r="L4" s="4" t="inlineStr">
        <is>
          <t>FY25A</t>
        </is>
      </c>
      <c r="M4" s="4" t="inlineStr">
        <is>
          <t>1Q26E</t>
        </is>
      </c>
      <c r="N4" s="4" t="inlineStr">
        <is>
          <t>2Q26E</t>
        </is>
      </c>
      <c r="O4" s="4" t="inlineStr">
        <is>
          <t>3Q26E</t>
        </is>
      </c>
      <c r="P4" s="4" t="inlineStr">
        <is>
          <t>4Q26E</t>
        </is>
      </c>
      <c r="Q4" s="4" t="inlineStr">
        <is>
          <t>FY26E</t>
        </is>
      </c>
      <c r="R4" s="4" t="inlineStr">
        <is>
          <t>1Q27E</t>
        </is>
      </c>
      <c r="S4" s="4" t="inlineStr">
        <is>
          <t>2Q27E</t>
        </is>
      </c>
      <c r="T4" s="4" t="inlineStr">
        <is>
          <t>3Q27E</t>
        </is>
      </c>
      <c r="U4" s="4" t="inlineStr">
        <is>
          <t>4Q27E</t>
        </is>
      </c>
      <c r="V4" s="4" t="inlineStr">
        <is>
          <t>FY27E</t>
        </is>
      </c>
    </row>
    <row r="6">
      <c r="A6" s="5" t="inlineStr">
        <is>
          <t>Balance sheet</t>
        </is>
      </c>
    </row>
    <row r="7">
      <c r="A7" t="inlineStr">
        <is>
          <t>Assets less liabilities and equity</t>
        </is>
      </c>
      <c r="B7" s="2" t="inlineStr">
        <is>
          <t>USDm</t>
        </is>
      </c>
      <c r="C7" s="20">
        <f>'Balance Sheet'!C10-'Balance Sheet'!C15</f>
        <v/>
      </c>
      <c r="D7" s="20">
        <f>'Balance Sheet'!D10-'Balance Sheet'!D15</f>
        <v/>
      </c>
      <c r="E7" s="20">
        <f>'Balance Sheet'!E10-'Balance Sheet'!E15</f>
        <v/>
      </c>
      <c r="F7" s="20">
        <f>'Balance Sheet'!F10-'Balance Sheet'!F15</f>
        <v/>
      </c>
      <c r="G7" s="21">
        <f>F7</f>
        <v/>
      </c>
      <c r="H7" s="20">
        <f>'Balance Sheet'!H10-'Balance Sheet'!H15</f>
        <v/>
      </c>
      <c r="I7" s="20">
        <f>'Balance Sheet'!I10-'Balance Sheet'!I15</f>
        <v/>
      </c>
      <c r="J7" s="20">
        <f>'Balance Sheet'!J10-'Balance Sheet'!J15</f>
        <v/>
      </c>
      <c r="K7" s="20">
        <f>'Balance Sheet'!K10-'Balance Sheet'!K15</f>
        <v/>
      </c>
      <c r="L7" s="21">
        <f>K7</f>
        <v/>
      </c>
      <c r="M7" s="20">
        <f>'Balance Sheet'!M10-'Balance Sheet'!M15</f>
        <v/>
      </c>
      <c r="N7" s="20">
        <f>'Balance Sheet'!N10-'Balance Sheet'!N15</f>
        <v/>
      </c>
      <c r="O7" s="20">
        <f>'Balance Sheet'!O10-'Balance Sheet'!O15</f>
        <v/>
      </c>
      <c r="P7" s="20">
        <f>'Balance Sheet'!P10-'Balance Sheet'!P15</f>
        <v/>
      </c>
      <c r="Q7" s="21">
        <f>P7</f>
        <v/>
      </c>
      <c r="R7" s="20">
        <f>'Balance Sheet'!R10-'Balance Sheet'!R15</f>
        <v/>
      </c>
      <c r="S7" s="20">
        <f>'Balance Sheet'!S10-'Balance Sheet'!S15</f>
        <v/>
      </c>
      <c r="T7" s="20">
        <f>'Balance Sheet'!T10-'Balance Sheet'!T15</f>
        <v/>
      </c>
      <c r="U7" s="20">
        <f>'Balance Sheet'!U10-'Balance Sheet'!U15</f>
        <v/>
      </c>
      <c r="V7" s="21">
        <f>U7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2026-10-28T10:12:56Z</dcterms:created>
  <dcterms:modified xmlns:dcterms="http://purl.org/dc/terms/" xmlns:xsi="http://www.w3.org/2001/XMLSchema-instance" xsi:type="dcterms:W3CDTF">2026-10-28T10:12:56Z</dcterms:modified>
</cp:coreProperties>
</file>